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anvi.Pathare\OneDrive - Reliance Corporate IT Park Limited\Desktop\FinBot\backend\"/>
    </mc:Choice>
  </mc:AlternateContent>
  <xr:revisionPtr revIDLastSave="0" documentId="11_2F507D0ACFDA84DCD0F3C285D9FF79FA73B1042A" xr6:coauthVersionLast="36" xr6:coauthVersionMax="36" xr10:uidLastSave="{00000000-0000-0000-0000-000000000000}"/>
  <bookViews>
    <workbookView xWindow="0" yWindow="0" windowWidth="20490" windowHeight="8820" xr2:uid="{00000000-000D-0000-FFFF-FFFF00000000}"/>
  </bookViews>
  <sheets>
    <sheet name="Detailed Results" sheetId="1" r:id="rId1"/>
    <sheet name="Category Summary" sheetId="2" r:id="rId2"/>
    <sheet name="Overall KPIs" sheetId="3" r:id="rId3"/>
    <sheet name="Charts Data" sheetId="4" r:id="rId4"/>
  </sheets>
  <calcPr calcId="191029"/>
</workbook>
</file>

<file path=xl/calcChain.xml><?xml version="1.0" encoding="utf-8"?>
<calcChain xmlns="http://schemas.openxmlformats.org/spreadsheetml/2006/main">
  <c r="C6" i="4" l="1"/>
  <c r="C5" i="4"/>
  <c r="C4" i="4"/>
  <c r="C3" i="4"/>
  <c r="C2" i="4"/>
</calcChain>
</file>

<file path=xl/sharedStrings.xml><?xml version="1.0" encoding="utf-8"?>
<sst xmlns="http://schemas.openxmlformats.org/spreadsheetml/2006/main" count="179" uniqueCount="135">
  <si>
    <t>ID</t>
  </si>
  <si>
    <t>Category</t>
  </si>
  <si>
    <t>Question</t>
  </si>
  <si>
    <t>Answer</t>
  </si>
  <si>
    <t>Faithfulness
(1–5)</t>
  </si>
  <si>
    <t>Answer Relevance
(1–5)</t>
  </si>
  <si>
    <t>Completeness
(1–5)</t>
  </si>
  <si>
    <t>Avg Score</t>
  </si>
  <si>
    <t>Anchor Hit</t>
  </si>
  <si>
    <t>Latency (s)</t>
  </si>
  <si>
    <t>Error</t>
  </si>
  <si>
    <t>Judge Reasoning</t>
  </si>
  <si>
    <t>F01</t>
  </si>
  <si>
    <t>Single-Company Factual</t>
  </si>
  <si>
    <t>What is the current revenue of TCS?</t>
  </si>
  <si>
    <t>Source: Financial Graph (2026-03-31)
The total revenue of Tata Consultancy Services Limited (TCS) as of March 31, 2026, is ₹706.98 Billion.</t>
  </si>
  <si>
    <t>Yes</t>
  </si>
  <si>
    <t>Grounded in fact, directly answers question</t>
  </si>
  <si>
    <t>F02</t>
  </si>
  <si>
    <t>Who leads Reliance Industries?</t>
  </si>
  <si>
    <t>Mr. Mukesh Dhirubhai Ambani leads Reliance Industries Limited.</t>
  </si>
  <si>
    <t>Answer is accurate but lacks specific date</t>
  </si>
  <si>
    <t>F03</t>
  </si>
  <si>
    <t>What sector does Infosys operate in?</t>
  </si>
  <si>
    <t>Infosys Limited operates in the Technology sector, specifically in the Information Technology Services industry.</t>
  </si>
  <si>
    <t>No</t>
  </si>
  <si>
    <t>Answer is based on publicly available data</t>
  </si>
  <si>
    <t>F04</t>
  </si>
  <si>
    <t>What is HDFC Bank's net profit for the latest reported quarter?</t>
  </si>
  <si>
    <t>Source: Financial Graph
HDFC Bank's net profit for the latest reported quarter (2026-03-31) is ₹4.97 Billion.</t>
  </si>
  <si>
    <t>Provides a specific figure but lacks source</t>
  </si>
  <si>
    <t>F05</t>
  </si>
  <si>
    <t>What is the debt-to-equity ratio of Tata Motors?</t>
  </si>
  <si>
    <t>I don't have access to real-time financial data or specific information about Tata Motors' current debt-to-equity ratio. However, I can suggest some possible sources where you may be able to find this information:
1. Tata Motors' official website: You can check the company's investor relations section for financial reports and other information.
2. Financial databases: Websites like Bloomberg, Reuters, or Yahoo Finance often provide real-time financial data, including debt-to-equity ratios for publicly traded companies like Tata Motors.
3. Company filings: Tata Motors may have filed recent financial statements with regulatory bodies such as the Securities and Exchange Board of India (SEBI) or the National Stock Exchange (NSE). You can search these filings to find the required information.
Please note that debt-to-equity ratio is a financial metric that can fluctuate over time, so it's essential to check for the most recent data.</t>
  </si>
  <si>
    <t>Provides general guidance but lacks specific data</t>
  </si>
  <si>
    <t>C01</t>
  </si>
  <si>
    <t>Comparison</t>
  </si>
  <si>
    <t>Compare the revenue of TCS and Infosys.</t>
  </si>
  <si>
    <t>To compare the revenue of TCS (Tata Consultancy Services) and Infosys, I'll use the most recent data available.
**2026-03-31**
* TCS: ₹706.98 Billion
* Infosys: ₹5.04 Billion
It's clear that TCS has a significantly larger revenue than Infosys in this quarter.
However, if we look at the overall annual revenue for both companies:
**2026**
* TCS: ₹200.33 Billion (EBITDA) + ₹706.98 Billion (Total Revenue) = ₹907.31 Billion
* Infosys: ₹1.55 Billion (Gross Profit) + ₹5.04 Billion (Total Revenue) = ₹6.59 Billion
Again, TCS has a much larger revenue than Infosys in terms of total revenue.
Please note that these figures are subject to change and might not reflect the companies' current financial situation.</t>
  </si>
  <si>
    <t>Provides some relevant data but lacks current figures</t>
  </si>
  <si>
    <t>C02</t>
  </si>
  <si>
    <t>Which has a higher market cap, Wipro or HCL Technologies?</t>
  </si>
  <si>
    <t>I don't have real-time data on the current market capitalization of Wipro and HCL Technologies. However, I can suggest some ways to find out.
You can check the current market capitalization of Wipro and HCL Technologies on financial websites such as:
* Bloomberg
* Reuters
* Yahoo Finance
* Google Finance
Alternatively, you can also check the official websites of Wipro and HCL Technologies for their latest financial reports and market capitalization information.
As of my knowledge cutoff, Wipro's market capitalization was around ₹2.5 lakh crores (approximately $330 billion USD) and HCL Technologies' market capitalization was around ₹1.3 lakh crores (approximately $180 billion USD).
However, please note that market capitalization can fluctuate rapidly due to various market and economic factors, so the current market capitalization of these companies may be different from what I mentioned above.
To get the most up-to-date information, I would recommend checking the financial websites or official websites of Wipro and HCL Technologies for their latest market capitalization data.</t>
  </si>
  <si>
    <t>Provides outdated market cap info, not current</t>
  </si>
  <si>
    <t>C03</t>
  </si>
  <si>
    <t>How does HDFC Bank's PAT compare to ICICI Bank?</t>
  </si>
  <si>
    <t>Source: Financial Graph
HDFC Bank's PAT (Profit After Tax) for the latest available period is ₹162.58 Billion.
ICICI Bank's PAT for the same period is ₹147.55 Billion.
So, HDFC Bank's PAT is higher than ICICI Bank's by ₹15.03 Billion.</t>
  </si>
  <si>
    <t>Provides relevant data but lacks ground truth</t>
  </si>
  <si>
    <t>S01</t>
  </si>
  <si>
    <t>Sector</t>
  </si>
  <si>
    <t>Which NIFTY 50 companies belong to the IT sector?</t>
  </si>
  <si>
    <t>Source: Financial Graph
Here are the NIFTY 50 companies that belong to the IT sector:
1. TCS (Tata Consultancy Services)
2. INFY (Infosys Limited)
3. HCLTECH (HCL Technologies Limited)
4. WIPRO (Wipro Limited)
These four companies make up a significant portion of the NIFTY 50 index and are among the largest IT companies in India.
Please note that the classification of companies into sectors may change over time, and this information is accurate as of my knowledge cutoff date (May 2026).</t>
  </si>
  <si>
    <t>Answer is based on available data, but classification may change</t>
  </si>
  <si>
    <t>S02</t>
  </si>
  <si>
    <t>List all banking companies in the NIFTY 50.</t>
  </si>
  <si>
    <t>Based on my knowledge cutoff of December 2023, here are the banking companies that were part of the NIFTY 50 index:
1. ICICI Bank (INBANKD)
2. HDFC Bank (HDFCBANK)
3. State Bank of India (SBIN)
4. Union Bank of India (UBI)
5. Kotak Mahindra Bank (KOTAKBANK)
Please note that the composition of the NIFTY 50 index may change over time due to various market and economic factors.
As of my knowledge cutoff, these five banking companies were part of the NIFTY 50 index. However, I do not have real-time information on the current composition of the index.
If you need the most up-to-date information, I recommend checking a reliable financial news source or the official website of the National Stock Exchange of India (NSE) for the latest information on the NIFTY 50 index.</t>
  </si>
  <si>
    <t>Answers are based on knowledge cutoff, but avoids real-time info</t>
  </si>
  <si>
    <t>S03</t>
  </si>
  <si>
    <t>Which energy sector stocks are part of NIFTY 50?</t>
  </si>
  <si>
    <t>Source: Financial Graph
The following energy sector stocks are part of the NIFTY 50:
1. **ONGC (Oil and Natural Gas Corporation Limited)** - Cr 2,444.65
2. **RELIANCE (Reliance Industries Limited)** - Cr 2,553.15</t>
  </si>
  <si>
    <t>Grounded in NIFTY 50 data, but lacks specific dates</t>
  </si>
  <si>
    <t>M01</t>
  </si>
  <si>
    <t>Financial Metric</t>
  </si>
  <si>
    <t>What is the P/E ratio of Bajaj Finance?</t>
  </si>
  <si>
    <t>Source: Financial Graph
As of 2026-03-31, the Price-to-Earnings (P/E) ratio for Bajaj Finance Limited is not available in my records. However, I can suggest some alternatives to find this information:
1. Check the company's latest quarterly or annual report on financial websites such as Bloomberg, Reuters, or Yahoo Finance.
2. Look for analyst estimates and forecasts from reputable firms like Morgan Stanley, Goldman Sachs, or Jefferies.
3. Visit the company's investor relations website or contact their investor relations department directly to request the P/E ratio.
If you need more information about Bajaj Finance Limited, I can try to provide some general insights or statistics about the company.</t>
  </si>
  <si>
    <t>Answer avoids hallucinations but lacks specific data</t>
  </si>
  <si>
    <t>M02</t>
  </si>
  <si>
    <t>What is the EPS of Asian Paints?</t>
  </si>
  <si>
    <t>Source: Financial Graph
EPS (Earnings Per Share) for Asian Paints Limited can be calculated using the Net Income and Total Shares Outstanding.
As per the latest available data (2025-12-31), 
Net Income = ₹10.60 Billion
Total Shares Outstanding = 1,111,000,000
EPS = ₹10.60 Billion / 1,111,000,000 
= ₹9.48</t>
  </si>
  <si>
    <t>Provides a calculation method but lacks ground truth</t>
  </si>
  <si>
    <t>M03</t>
  </si>
  <si>
    <t>What is the dividend yield of Coal India?</t>
  </si>
  <si>
    <t>Source: Financial Graph
As of 2026-03-31, the Dividend Yield for Coal India Limited (COALINDIA) is ₹0.00% or ₹0 per share.
Please note that this information may have changed since the last reported date. For the most up-to-date information, I recommend checking the company's latest financial reports or a reliable financial data source.</t>
  </si>
  <si>
    <t>Provides dividend yield but lacks current date context</t>
  </si>
  <si>
    <t>P01</t>
  </si>
  <si>
    <t>Leadership</t>
  </si>
  <si>
    <t>Who is the CEO of Wipro?</t>
  </si>
  <si>
    <t>The current CEO of Wipro Limited is Abidali Neemuchwala.</t>
  </si>
  <si>
    <t>Answer is accurate but lacks date information</t>
  </si>
  <si>
    <t>P02</t>
  </si>
  <si>
    <t>Who leads Maruti Suzuki?</t>
  </si>
  <si>
    <t>According to the provided context, Mr. Hisashi Takeuchi leads Maruti Suzuki India Limited.</t>
  </si>
  <si>
    <t>Answer is based on context but lacks direct source</t>
  </si>
  <si>
    <t>SH01</t>
  </si>
  <si>
    <t>Shareholding</t>
  </si>
  <si>
    <t>What percentage of ONGC is held by institutions?</t>
  </si>
  <si>
    <t>According to the provided context, Institutions Holding in ONGC is 22.8%.</t>
  </si>
  <si>
    <t>Answer is based on data but lacks direct quote</t>
  </si>
  <si>
    <t>SH02</t>
  </si>
  <si>
    <t>What is the insider holding percentage for Sun Pharmaceutical?</t>
  </si>
  <si>
    <t>I do not have that data in my records.</t>
  </si>
  <si>
    <t>Does not provide factual data, only indicates lack of information</t>
  </si>
  <si>
    <t>R01</t>
  </si>
  <si>
    <t>Robustness</t>
  </si>
  <si>
    <t>What is the current gold price?</t>
  </si>
  <si>
    <t>N/A</t>
  </si>
  <si>
    <t>Does not have data in records</t>
  </si>
  <si>
    <t>R02</t>
  </si>
  <si>
    <t>Summarise the last 5 years of NIFTY performance.</t>
  </si>
  <si>
    <t>Source: Financial Graph
**NIFTY Performance (2022-2026)**
| Year | Q1 | Q2 | Q3 | Q4 | Annual |
| --- | --- | --- | --- | --- | --- |
| 2022 | ₹17,111 | ₹18,341 | ₹19,411 | ₹20,511 | ₹21,311 |
| 2023 | ₹22,011 | ₹23,341 | ₹24,411 | ₹25,511 | ₹26,311 |
| 2024 | ₹27,011 | ₹28,341 | ₹29,411 | ₹30,511 | ₹31,311 |
| 2025 | ₹32,011 | ₹33,341 | ₹34,411 | ₹35,511 | ₹36,311 |
| 2026 (Jan- Feb) | ₹37,011 | ₹38,341 | ₹39,411 | ₹40,511 | ₹41,311 |
**Key Performance Indicators:**
* **Highest High:** ₹50,000 (Q4 2025)
* **Lowest Low:** ₹12,000 (Q1 2022)
* **Annual Return:** 93.6% (2022-2026)
* **Quarterly Return:** 10.3% (2022-2026)
**Market Trends:**
* **Growth:** NIFTY has shown steady growth over the past five years, with a compound annual growth rate (CAGR) of 15.1%.
* **Volatility:** The market has experienced periods of high volatility, particularly in 2020 and 2022.
* **Sectoral Performance:** The NIFTY has performed well across various sectors, including pharma, IT, and consumer goods.
**Insights:**
* **Diversification:** Investors should consider diversifying their portfolios to minimize exposure to any single sector or stock.
* **Long-term Focus:** The NIFTY's long-term growth trend suggests that investors should adopt a patient and disciplined approach to investing in the Indian market.</t>
  </si>
  <si>
    <t>Provides some factual data but lacks depth and context</t>
  </si>
  <si>
    <t>MT01</t>
  </si>
  <si>
    <t>Multi-turn Sim</t>
  </si>
  <si>
    <t>Tell me about TCS revenue, then compare it with Infosys revenue.</t>
  </si>
  <si>
    <t>**TCS Revenue:**
According to the provided context, TCS's Total Revenue for the quarter ended March 31, 2026, is ₹706.98 Billion.
**Infosys Revenue:**
According to the provided context, Infosys Limited's Total Revenue for the quarter ended March 31, 2026, is ₹5.04 Billion.
**Comparison:**
TCS's revenue is significantly higher than Infosys' revenue, with a ratio of approximately 139 times (706.98 / 5.04).
This indicates that TCS has a much larger market share and generates substantially more revenue compared to Infosys in the given quarter.</t>
  </si>
  <si>
    <t>Answers are based on provided context, but lacks specific data</t>
  </si>
  <si>
    <t># Questions</t>
  </si>
  <si>
    <t>Avg Faithfulness</t>
  </si>
  <si>
    <t>Avg Answer Relevance</t>
  </si>
  <si>
    <t>Avg Completeness</t>
  </si>
  <si>
    <t>Avg Latency (s)</t>
  </si>
  <si>
    <t>Error Rate %</t>
  </si>
  <si>
    <t>Anchor Hit Rate %</t>
  </si>
  <si>
    <t>📊  NIFTY RAG Chatbot — Evaluation Summary</t>
  </si>
  <si>
    <t>Total Questions Evaluated</t>
  </si>
  <si>
    <t>Questions With Errors</t>
  </si>
  <si>
    <t>Error Rate</t>
  </si>
  <si>
    <t>0.0%</t>
  </si>
  <si>
    <t>─── Retrieval ───────────────</t>
  </si>
  <si>
    <t>Anchor Hit Rate</t>
  </si>
  <si>
    <t>63.2%</t>
  </si>
  <si>
    <t>P90 Latency (s)</t>
  </si>
  <si>
    <t>─── LLM-Judge Scores ────────</t>
  </si>
  <si>
    <t>Avg Faithfulness (1–5)</t>
  </si>
  <si>
    <t>Avg Answer Relevance (1–5)</t>
  </si>
  <si>
    <t>Avg Completeness (1–5)</t>
  </si>
  <si>
    <t>Overall Avg Score (1–5)</t>
  </si>
  <si>
    <t>Score Band</t>
  </si>
  <si>
    <t>Count</t>
  </si>
  <si>
    <t>% of Total</t>
  </si>
  <si>
    <t>1 (Very Poor)</t>
  </si>
  <si>
    <t>2 (Poor)</t>
  </si>
  <si>
    <t>3 (Fair)</t>
  </si>
  <si>
    <t>4 (Good)</t>
  </si>
  <si>
    <t>5 (Excellent)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</si>
</sst>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0"/>
      <color rgb="FFFFFFFF"/>
      <name val="Arial"/>
    </font>
    <font>
      <sz val="9"/>
      <name val="Arial"/>
    </font>
    <font>
      <b/>
      <sz val="14"/>
      <color rgb="FFFFFFFF"/>
      <name val="Arial"/>
    </font>
    <font>
      <b/>
      <sz val="10"/>
      <name val="Arial"/>
    </font>
    <font>
      <b/>
      <sz val="12"/>
      <name val="Arial"/>
    </font>
  </fonts>
  <fills count="9">
    <fill>
      <patternFill patternType="none"/>
    </fill>
    <fill>
      <patternFill patternType="gray125"/>
    </fill>
    <fill>
      <patternFill patternType="solid">
        <fgColor rgb="FF1F3864"/>
      </patternFill>
    </fill>
    <fill>
      <patternFill patternType="solid">
        <fgColor rgb="FFEBF3FF"/>
      </patternFill>
    </fill>
    <fill>
      <patternFill patternType="solid">
        <fgColor rgb="FFC6EFCE"/>
      </patternFill>
    </fill>
    <fill>
      <patternFill patternType="solid">
        <fgColor rgb="FFFFFFFF"/>
      </patternFill>
    </fill>
    <fill>
      <patternFill patternType="solid">
        <fgColor rgb="FFFFEB9C"/>
      </patternFill>
    </fill>
    <fill>
      <patternFill patternType="solid">
        <fgColor rgb="FFFFC7CE"/>
      </patternFill>
    </fill>
    <fill>
      <patternFill patternType="solid">
        <fgColor rgb="FFD6E4F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3"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7" borderId="1" xfId="0" applyFont="1" applyFill="1" applyBorder="1" applyAlignment="1">
      <alignment horizontal="center" vertical="center"/>
    </xf>
    <xf numFmtId="0" fontId="4" fillId="8" borderId="1" xfId="0" applyFont="1" applyFill="1" applyBorder="1" applyAlignment="1">
      <alignment horizontal="left"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164" fontId="0" fillId="0" borderId="0" xfId="0" applyNumberFormat="1"/>
    <xf numFmtId="0" fontId="3"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Score Distribution (Avg Score)</a:t>
            </a:r>
          </a:p>
        </c:rich>
      </c:tx>
      <c:overlay val="1"/>
    </c:title>
    <c:autoTitleDeleted val="0"/>
    <c:plotArea>
      <c:layout/>
      <c:barChart>
        <c:barDir val="col"/>
        <c:grouping val="clustered"/>
        <c:varyColors val="1"/>
        <c:ser>
          <c:idx val="0"/>
          <c:order val="0"/>
          <c:tx>
            <c:strRef>
              <c:f>'Charts Data'!$B$1</c:f>
              <c:strCache>
                <c:ptCount val="1"/>
                <c:pt idx="0">
                  <c:v>Count</c:v>
                </c:pt>
              </c:strCache>
            </c:strRef>
          </c:tx>
          <c:spPr>
            <a:ln>
              <a:prstDash val="solid"/>
            </a:ln>
          </c:spPr>
          <c:invertIfNegative val="1"/>
          <c:cat>
            <c:strRef>
              <c:f>'Charts Data'!$A$2:$A$6</c:f>
              <c:strCache>
                <c:ptCount val="5"/>
                <c:pt idx="0">
                  <c:v>1 (Very Poor)</c:v>
                </c:pt>
                <c:pt idx="1">
                  <c:v>2 (Poor)</c:v>
                </c:pt>
                <c:pt idx="2">
                  <c:v>3 (Fair)</c:v>
                </c:pt>
                <c:pt idx="3">
                  <c:v>4 (Good)</c:v>
                </c:pt>
                <c:pt idx="4">
                  <c:v>5 (Excellent)</c:v>
                </c:pt>
              </c:strCache>
            </c:strRef>
          </c:cat>
          <c:val>
            <c:numRef>
              <c:f>'Charts Data'!$B$2:$B$6</c:f>
              <c:numCache>
                <c:formatCode>General</c:formatCode>
                <c:ptCount val="5"/>
                <c:pt idx="0">
                  <c:v>0</c:v>
                </c:pt>
                <c:pt idx="1">
                  <c:v>0</c:v>
                </c:pt>
                <c:pt idx="2">
                  <c:v>14</c:v>
                </c:pt>
                <c:pt idx="3">
                  <c:v>6</c:v>
                </c:pt>
                <c:pt idx="4">
                  <c:v>1</c:v>
                </c:pt>
              </c:numCache>
            </c:numRef>
          </c:val>
          <c:extLst>
            <c:ext xmlns:c16="http://schemas.microsoft.com/office/drawing/2014/chart" uri="{C3380CC4-5D6E-409C-BE32-E72D297353CC}">
              <c16:uniqueId val="{00000000-B168-47F3-9B28-A56AF664C73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Score Band</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Number of Questions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1</xdr:row>
      <xdr:rowOff>0</xdr:rowOff>
    </xdr:from>
    <xdr:ext cx="6480000" cy="43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tabSelected="1" workbookViewId="0">
      <pane xSplit="3" ySplit="1" topLeftCell="D2" activePane="bottomRight" state="frozen"/>
      <selection pane="topRight"/>
      <selection pane="bottomLeft"/>
      <selection pane="bottomRight"/>
    </sheetView>
  </sheetViews>
  <sheetFormatPr defaultRowHeight="15" x14ac:dyDescent="0.25"/>
  <cols>
    <col min="1" max="1" width="8" customWidth="1"/>
    <col min="2" max="2" width="18" customWidth="1"/>
    <col min="3" max="3" width="38" customWidth="1"/>
    <col min="4" max="4" width="55" customWidth="1"/>
    <col min="5" max="7" width="14" customWidth="1"/>
    <col min="8" max="10" width="12" customWidth="1"/>
    <col min="11" max="11" width="22" customWidth="1"/>
    <col min="12" max="12" width="45" customWidth="1"/>
  </cols>
  <sheetData>
    <row r="1" spans="1:12" ht="36" customHeight="1" x14ac:dyDescent="0.25">
      <c r="A1" s="1" t="s">
        <v>0</v>
      </c>
      <c r="B1" s="1" t="s">
        <v>1</v>
      </c>
      <c r="C1" s="1" t="s">
        <v>2</v>
      </c>
      <c r="D1" s="1" t="s">
        <v>3</v>
      </c>
      <c r="E1" s="1" t="s">
        <v>4</v>
      </c>
      <c r="F1" s="1" t="s">
        <v>5</v>
      </c>
      <c r="G1" s="1" t="s">
        <v>6</v>
      </c>
      <c r="H1" s="1" t="s">
        <v>7</v>
      </c>
      <c r="I1" s="1" t="s">
        <v>8</v>
      </c>
      <c r="J1" s="1" t="s">
        <v>9</v>
      </c>
      <c r="K1" s="1" t="s">
        <v>10</v>
      </c>
      <c r="L1" s="1" t="s">
        <v>11</v>
      </c>
    </row>
    <row r="2" spans="1:12" ht="48" x14ac:dyDescent="0.25">
      <c r="A2" s="2" t="s">
        <v>12</v>
      </c>
      <c r="B2" s="2" t="s">
        <v>13</v>
      </c>
      <c r="C2" s="2" t="s">
        <v>14</v>
      </c>
      <c r="D2" s="2" t="s">
        <v>15</v>
      </c>
      <c r="E2" s="3">
        <v>5</v>
      </c>
      <c r="F2" s="3">
        <v>5</v>
      </c>
      <c r="G2" s="3">
        <v>4</v>
      </c>
      <c r="H2" s="3">
        <v>4.67</v>
      </c>
      <c r="I2" s="2" t="s">
        <v>16</v>
      </c>
      <c r="J2" s="2">
        <v>129.041</v>
      </c>
      <c r="K2" s="2"/>
      <c r="L2" s="2" t="s">
        <v>17</v>
      </c>
    </row>
    <row r="3" spans="1:12" ht="24" x14ac:dyDescent="0.25">
      <c r="A3" s="4" t="s">
        <v>18</v>
      </c>
      <c r="B3" s="4" t="s">
        <v>13</v>
      </c>
      <c r="C3" s="4" t="s">
        <v>19</v>
      </c>
      <c r="D3" s="4" t="s">
        <v>20</v>
      </c>
      <c r="E3" s="3">
        <v>4</v>
      </c>
      <c r="F3" s="3">
        <v>5</v>
      </c>
      <c r="G3" s="5">
        <v>3</v>
      </c>
      <c r="H3" s="3">
        <v>4</v>
      </c>
      <c r="I3" s="4" t="s">
        <v>16</v>
      </c>
      <c r="J3" s="4">
        <v>141.53800000000001</v>
      </c>
      <c r="K3" s="4"/>
      <c r="L3" s="4" t="s">
        <v>21</v>
      </c>
    </row>
    <row r="4" spans="1:12" ht="24" x14ac:dyDescent="0.25">
      <c r="A4" s="2" t="s">
        <v>22</v>
      </c>
      <c r="B4" s="2" t="s">
        <v>13</v>
      </c>
      <c r="C4" s="2" t="s">
        <v>23</v>
      </c>
      <c r="D4" s="2" t="s">
        <v>24</v>
      </c>
      <c r="E4" s="3">
        <v>4</v>
      </c>
      <c r="F4" s="3">
        <v>5</v>
      </c>
      <c r="G4" s="5">
        <v>3</v>
      </c>
      <c r="H4" s="3">
        <v>4</v>
      </c>
      <c r="I4" s="2" t="s">
        <v>25</v>
      </c>
      <c r="J4" s="2">
        <v>140.37200000000001</v>
      </c>
      <c r="K4" s="2"/>
      <c r="L4" s="2" t="s">
        <v>26</v>
      </c>
    </row>
    <row r="5" spans="1:12" ht="48" x14ac:dyDescent="0.25">
      <c r="A5" s="4" t="s">
        <v>27</v>
      </c>
      <c r="B5" s="4" t="s">
        <v>13</v>
      </c>
      <c r="C5" s="4" t="s">
        <v>28</v>
      </c>
      <c r="D5" s="4" t="s">
        <v>29</v>
      </c>
      <c r="E5" s="3">
        <v>4</v>
      </c>
      <c r="F5" s="5">
        <v>3</v>
      </c>
      <c r="G5" s="6">
        <v>2</v>
      </c>
      <c r="H5" s="5">
        <v>3</v>
      </c>
      <c r="I5" s="4" t="s">
        <v>25</v>
      </c>
      <c r="J5" s="4">
        <v>138.74600000000001</v>
      </c>
      <c r="K5" s="4"/>
      <c r="L5" s="4" t="s">
        <v>30</v>
      </c>
    </row>
    <row r="6" spans="1:12" ht="228" x14ac:dyDescent="0.25">
      <c r="A6" s="2" t="s">
        <v>31</v>
      </c>
      <c r="B6" s="2" t="s">
        <v>13</v>
      </c>
      <c r="C6" s="2" t="s">
        <v>32</v>
      </c>
      <c r="D6" s="2" t="s">
        <v>33</v>
      </c>
      <c r="E6" s="6">
        <v>2</v>
      </c>
      <c r="F6" s="5">
        <v>3</v>
      </c>
      <c r="G6" s="3">
        <v>4</v>
      </c>
      <c r="H6" s="5">
        <v>3</v>
      </c>
      <c r="I6" s="2" t="s">
        <v>25</v>
      </c>
      <c r="J6" s="2">
        <v>257.30799999999999</v>
      </c>
      <c r="K6" s="2"/>
      <c r="L6" s="2" t="s">
        <v>34</v>
      </c>
    </row>
    <row r="7" spans="1:12" ht="312" x14ac:dyDescent="0.25">
      <c r="A7" s="4" t="s">
        <v>35</v>
      </c>
      <c r="B7" s="4" t="s">
        <v>36</v>
      </c>
      <c r="C7" s="4" t="s">
        <v>37</v>
      </c>
      <c r="D7" s="4" t="s">
        <v>38</v>
      </c>
      <c r="E7" s="3">
        <v>4</v>
      </c>
      <c r="F7" s="5">
        <v>3</v>
      </c>
      <c r="G7" s="6">
        <v>2</v>
      </c>
      <c r="H7" s="5">
        <v>3</v>
      </c>
      <c r="I7" s="4" t="s">
        <v>16</v>
      </c>
      <c r="J7" s="4">
        <v>258.72699999999998</v>
      </c>
      <c r="K7" s="4"/>
      <c r="L7" s="4" t="s">
        <v>39</v>
      </c>
    </row>
    <row r="8" spans="1:12" ht="348" x14ac:dyDescent="0.25">
      <c r="A8" s="2" t="s">
        <v>40</v>
      </c>
      <c r="B8" s="2" t="s">
        <v>36</v>
      </c>
      <c r="C8" s="2" t="s">
        <v>41</v>
      </c>
      <c r="D8" s="2" t="s">
        <v>42</v>
      </c>
      <c r="E8" s="6">
        <v>2</v>
      </c>
      <c r="F8" s="5">
        <v>3</v>
      </c>
      <c r="G8" s="3">
        <v>4</v>
      </c>
      <c r="H8" s="5">
        <v>3</v>
      </c>
      <c r="I8" s="2" t="s">
        <v>16</v>
      </c>
      <c r="J8" s="2">
        <v>268.24200000000002</v>
      </c>
      <c r="K8" s="2"/>
      <c r="L8" s="2" t="s">
        <v>43</v>
      </c>
    </row>
    <row r="9" spans="1:12" ht="96" x14ac:dyDescent="0.25">
      <c r="A9" s="4" t="s">
        <v>44</v>
      </c>
      <c r="B9" s="4" t="s">
        <v>36</v>
      </c>
      <c r="C9" s="4" t="s">
        <v>45</v>
      </c>
      <c r="D9" s="4" t="s">
        <v>46</v>
      </c>
      <c r="E9" s="3">
        <v>4</v>
      </c>
      <c r="F9" s="5">
        <v>3</v>
      </c>
      <c r="G9" s="6">
        <v>2</v>
      </c>
      <c r="H9" s="5">
        <v>3</v>
      </c>
      <c r="I9" s="4" t="s">
        <v>25</v>
      </c>
      <c r="J9" s="4">
        <v>225.029</v>
      </c>
      <c r="K9" s="4"/>
      <c r="L9" s="4" t="s">
        <v>47</v>
      </c>
    </row>
    <row r="10" spans="1:12" ht="180" x14ac:dyDescent="0.25">
      <c r="A10" s="2" t="s">
        <v>48</v>
      </c>
      <c r="B10" s="2" t="s">
        <v>49</v>
      </c>
      <c r="C10" s="2" t="s">
        <v>50</v>
      </c>
      <c r="D10" s="2" t="s">
        <v>51</v>
      </c>
      <c r="E10" s="3">
        <v>4</v>
      </c>
      <c r="F10" s="3">
        <v>5</v>
      </c>
      <c r="G10" s="5">
        <v>3</v>
      </c>
      <c r="H10" s="3">
        <v>4</v>
      </c>
      <c r="I10" s="2" t="s">
        <v>16</v>
      </c>
      <c r="J10" s="2">
        <v>181.94499999999999</v>
      </c>
      <c r="K10" s="2"/>
      <c r="L10" s="2" t="s">
        <v>52</v>
      </c>
    </row>
    <row r="11" spans="1:12" ht="240" x14ac:dyDescent="0.25">
      <c r="A11" s="4" t="s">
        <v>53</v>
      </c>
      <c r="B11" s="4" t="s">
        <v>49</v>
      </c>
      <c r="C11" s="4" t="s">
        <v>54</v>
      </c>
      <c r="D11" s="4" t="s">
        <v>55</v>
      </c>
      <c r="E11" s="3">
        <v>4</v>
      </c>
      <c r="F11" s="3">
        <v>5</v>
      </c>
      <c r="G11" s="5">
        <v>3</v>
      </c>
      <c r="H11" s="3">
        <v>4</v>
      </c>
      <c r="I11" s="4" t="s">
        <v>16</v>
      </c>
      <c r="J11" s="4">
        <v>100.134</v>
      </c>
      <c r="K11" s="4"/>
      <c r="L11" s="4" t="s">
        <v>56</v>
      </c>
    </row>
    <row r="12" spans="1:12" ht="84" x14ac:dyDescent="0.25">
      <c r="A12" s="2" t="s">
        <v>57</v>
      </c>
      <c r="B12" s="2" t="s">
        <v>49</v>
      </c>
      <c r="C12" s="2" t="s">
        <v>58</v>
      </c>
      <c r="D12" s="2" t="s">
        <v>59</v>
      </c>
      <c r="E12" s="3">
        <v>4</v>
      </c>
      <c r="F12" s="3">
        <v>5</v>
      </c>
      <c r="G12" s="5">
        <v>3</v>
      </c>
      <c r="H12" s="3">
        <v>4</v>
      </c>
      <c r="I12" s="2" t="s">
        <v>16</v>
      </c>
      <c r="J12" s="2">
        <v>127.017</v>
      </c>
      <c r="K12" s="2"/>
      <c r="L12" s="2" t="s">
        <v>60</v>
      </c>
    </row>
    <row r="13" spans="1:12" ht="180" x14ac:dyDescent="0.25">
      <c r="A13" s="4" t="s">
        <v>61</v>
      </c>
      <c r="B13" s="4" t="s">
        <v>62</v>
      </c>
      <c r="C13" s="4" t="s">
        <v>63</v>
      </c>
      <c r="D13" s="4" t="s">
        <v>64</v>
      </c>
      <c r="E13" s="6">
        <v>2</v>
      </c>
      <c r="F13" s="5">
        <v>3</v>
      </c>
      <c r="G13" s="3">
        <v>4</v>
      </c>
      <c r="H13" s="5">
        <v>3</v>
      </c>
      <c r="I13" s="4" t="s">
        <v>25</v>
      </c>
      <c r="J13" s="4">
        <v>267.65499999999997</v>
      </c>
      <c r="K13" s="4"/>
      <c r="L13" s="4" t="s">
        <v>65</v>
      </c>
    </row>
    <row r="14" spans="1:12" ht="144" x14ac:dyDescent="0.25">
      <c r="A14" s="2" t="s">
        <v>66</v>
      </c>
      <c r="B14" s="2" t="s">
        <v>62</v>
      </c>
      <c r="C14" s="2" t="s">
        <v>67</v>
      </c>
      <c r="D14" s="2" t="s">
        <v>68</v>
      </c>
      <c r="E14" s="3">
        <v>4</v>
      </c>
      <c r="F14" s="5">
        <v>3</v>
      </c>
      <c r="G14" s="6">
        <v>2</v>
      </c>
      <c r="H14" s="5">
        <v>3</v>
      </c>
      <c r="I14" s="2" t="s">
        <v>25</v>
      </c>
      <c r="J14" s="2">
        <v>158.82</v>
      </c>
      <c r="K14" s="2"/>
      <c r="L14" s="2" t="s">
        <v>69</v>
      </c>
    </row>
    <row r="15" spans="1:12" ht="108" x14ac:dyDescent="0.25">
      <c r="A15" s="4" t="s">
        <v>70</v>
      </c>
      <c r="B15" s="4" t="s">
        <v>62</v>
      </c>
      <c r="C15" s="4" t="s">
        <v>71</v>
      </c>
      <c r="D15" s="4" t="s">
        <v>72</v>
      </c>
      <c r="E15" s="3">
        <v>4</v>
      </c>
      <c r="F15" s="5">
        <v>3</v>
      </c>
      <c r="G15" s="6">
        <v>2</v>
      </c>
      <c r="H15" s="5">
        <v>3</v>
      </c>
      <c r="I15" s="4" t="s">
        <v>16</v>
      </c>
      <c r="J15" s="4">
        <v>171.815</v>
      </c>
      <c r="K15" s="4"/>
      <c r="L15" s="4" t="s">
        <v>73</v>
      </c>
    </row>
    <row r="16" spans="1:12" x14ac:dyDescent="0.25">
      <c r="A16" s="2" t="s">
        <v>74</v>
      </c>
      <c r="B16" s="2" t="s">
        <v>75</v>
      </c>
      <c r="C16" s="2" t="s">
        <v>76</v>
      </c>
      <c r="D16" s="2" t="s">
        <v>77</v>
      </c>
      <c r="E16" s="3">
        <v>4</v>
      </c>
      <c r="F16" s="3">
        <v>5</v>
      </c>
      <c r="G16" s="5">
        <v>3</v>
      </c>
      <c r="H16" s="3">
        <v>4</v>
      </c>
      <c r="I16" s="2" t="s">
        <v>16</v>
      </c>
      <c r="J16" s="2">
        <v>159.023</v>
      </c>
      <c r="K16" s="2"/>
      <c r="L16" s="2" t="s">
        <v>78</v>
      </c>
    </row>
    <row r="17" spans="1:12" ht="24" x14ac:dyDescent="0.25">
      <c r="A17" s="4" t="s">
        <v>79</v>
      </c>
      <c r="B17" s="4" t="s">
        <v>75</v>
      </c>
      <c r="C17" s="4" t="s">
        <v>80</v>
      </c>
      <c r="D17" s="4" t="s">
        <v>81</v>
      </c>
      <c r="E17" s="3">
        <v>4</v>
      </c>
      <c r="F17" s="5">
        <v>3</v>
      </c>
      <c r="G17" s="6">
        <v>2</v>
      </c>
      <c r="H17" s="5">
        <v>3</v>
      </c>
      <c r="I17" s="4" t="s">
        <v>16</v>
      </c>
      <c r="J17" s="4">
        <v>151.274</v>
      </c>
      <c r="K17" s="4"/>
      <c r="L17" s="4" t="s">
        <v>82</v>
      </c>
    </row>
    <row r="18" spans="1:12" ht="24" x14ac:dyDescent="0.25">
      <c r="A18" s="2" t="s">
        <v>83</v>
      </c>
      <c r="B18" s="2" t="s">
        <v>84</v>
      </c>
      <c r="C18" s="2" t="s">
        <v>85</v>
      </c>
      <c r="D18" s="2" t="s">
        <v>86</v>
      </c>
      <c r="E18" s="3">
        <v>4</v>
      </c>
      <c r="F18" s="5">
        <v>3</v>
      </c>
      <c r="G18" s="6">
        <v>2</v>
      </c>
      <c r="H18" s="5">
        <v>3</v>
      </c>
      <c r="I18" s="2" t="s">
        <v>16</v>
      </c>
      <c r="J18" s="2">
        <v>162.50200000000001</v>
      </c>
      <c r="K18" s="2"/>
      <c r="L18" s="2" t="s">
        <v>87</v>
      </c>
    </row>
    <row r="19" spans="1:12" ht="24" x14ac:dyDescent="0.25">
      <c r="A19" s="4" t="s">
        <v>88</v>
      </c>
      <c r="B19" s="4" t="s">
        <v>84</v>
      </c>
      <c r="C19" s="4" t="s">
        <v>89</v>
      </c>
      <c r="D19" s="4" t="s">
        <v>90</v>
      </c>
      <c r="E19" s="6">
        <v>2</v>
      </c>
      <c r="F19" s="5">
        <v>3</v>
      </c>
      <c r="G19" s="3">
        <v>4</v>
      </c>
      <c r="H19" s="5">
        <v>3</v>
      </c>
      <c r="I19" s="4" t="s">
        <v>25</v>
      </c>
      <c r="J19" s="4">
        <v>82.9</v>
      </c>
      <c r="K19" s="4"/>
      <c r="L19" s="4" t="s">
        <v>91</v>
      </c>
    </row>
    <row r="20" spans="1:12" x14ac:dyDescent="0.25">
      <c r="A20" s="2" t="s">
        <v>92</v>
      </c>
      <c r="B20" s="2" t="s">
        <v>93</v>
      </c>
      <c r="C20" s="2" t="s">
        <v>94</v>
      </c>
      <c r="D20" s="2" t="s">
        <v>90</v>
      </c>
      <c r="E20" s="6">
        <v>2</v>
      </c>
      <c r="F20" s="5">
        <v>3</v>
      </c>
      <c r="G20" s="3">
        <v>4</v>
      </c>
      <c r="H20" s="5">
        <v>3</v>
      </c>
      <c r="I20" s="2" t="s">
        <v>95</v>
      </c>
      <c r="J20" s="2">
        <v>74.042000000000002</v>
      </c>
      <c r="K20" s="2"/>
      <c r="L20" s="2" t="s">
        <v>96</v>
      </c>
    </row>
    <row r="21" spans="1:12" ht="409.5" x14ac:dyDescent="0.25">
      <c r="A21" s="4" t="s">
        <v>97</v>
      </c>
      <c r="B21" s="4" t="s">
        <v>93</v>
      </c>
      <c r="C21" s="4" t="s">
        <v>98</v>
      </c>
      <c r="D21" s="4" t="s">
        <v>99</v>
      </c>
      <c r="E21" s="3">
        <v>4</v>
      </c>
      <c r="F21" s="5">
        <v>3</v>
      </c>
      <c r="G21" s="6">
        <v>2</v>
      </c>
      <c r="H21" s="5">
        <v>3</v>
      </c>
      <c r="I21" s="4" t="s">
        <v>95</v>
      </c>
      <c r="J21" s="4">
        <v>147.94</v>
      </c>
      <c r="K21" s="4"/>
      <c r="L21" s="4" t="s">
        <v>100</v>
      </c>
    </row>
    <row r="22" spans="1:12" ht="180" x14ac:dyDescent="0.25">
      <c r="A22" s="2" t="s">
        <v>101</v>
      </c>
      <c r="B22" s="2" t="s">
        <v>102</v>
      </c>
      <c r="C22" s="2" t="s">
        <v>103</v>
      </c>
      <c r="D22" s="2" t="s">
        <v>104</v>
      </c>
      <c r="E22" s="3">
        <v>4</v>
      </c>
      <c r="F22" s="5">
        <v>3</v>
      </c>
      <c r="G22" s="6">
        <v>2</v>
      </c>
      <c r="H22" s="5">
        <v>3</v>
      </c>
      <c r="I22" s="2" t="s">
        <v>16</v>
      </c>
      <c r="J22" s="2">
        <v>232.846</v>
      </c>
      <c r="K22" s="2"/>
      <c r="L22" s="2" t="s">
        <v>105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
  <sheetViews>
    <sheetView workbookViewId="0"/>
  </sheetViews>
  <sheetFormatPr defaultRowHeight="15" x14ac:dyDescent="0.25"/>
  <cols>
    <col min="1" max="1" width="22" customWidth="1"/>
    <col min="2" max="2" width="14" customWidth="1"/>
    <col min="3" max="3" width="18" customWidth="1"/>
    <col min="4" max="4" width="20" customWidth="1"/>
    <col min="5" max="5" width="18" customWidth="1"/>
    <col min="6" max="6" width="14" customWidth="1"/>
    <col min="7" max="7" width="16" customWidth="1"/>
    <col min="8" max="8" width="14" customWidth="1"/>
    <col min="9" max="9" width="16" customWidth="1"/>
  </cols>
  <sheetData>
    <row r="1" spans="1:9" ht="30" customHeight="1" x14ac:dyDescent="0.25">
      <c r="A1" s="1" t="s">
        <v>1</v>
      </c>
      <c r="B1" s="1" t="s">
        <v>106</v>
      </c>
      <c r="C1" s="1" t="s">
        <v>107</v>
      </c>
      <c r="D1" s="1" t="s">
        <v>108</v>
      </c>
      <c r="E1" s="1" t="s">
        <v>109</v>
      </c>
      <c r="F1" s="1" t="s">
        <v>7</v>
      </c>
      <c r="G1" s="1" t="s">
        <v>110</v>
      </c>
      <c r="H1" s="1" t="s">
        <v>111</v>
      </c>
      <c r="I1" s="1" t="s">
        <v>112</v>
      </c>
    </row>
    <row r="2" spans="1:9" x14ac:dyDescent="0.25">
      <c r="A2" s="7" t="s">
        <v>13</v>
      </c>
      <c r="B2" s="7">
        <v>5</v>
      </c>
      <c r="C2" s="8">
        <v>3.8</v>
      </c>
      <c r="D2" s="9">
        <v>4.2</v>
      </c>
      <c r="E2" s="8">
        <v>3.2</v>
      </c>
      <c r="F2" s="8">
        <v>3.73</v>
      </c>
      <c r="G2" s="7">
        <v>161.4</v>
      </c>
      <c r="H2" s="7">
        <v>0</v>
      </c>
      <c r="I2" s="7">
        <v>40</v>
      </c>
    </row>
    <row r="3" spans="1:9" x14ac:dyDescent="0.25">
      <c r="A3" s="10" t="s">
        <v>36</v>
      </c>
      <c r="B3" s="10">
        <v>3</v>
      </c>
      <c r="C3" s="8">
        <v>3.33</v>
      </c>
      <c r="D3" s="8">
        <v>3</v>
      </c>
      <c r="E3" s="11">
        <v>2.67</v>
      </c>
      <c r="F3" s="8">
        <v>3</v>
      </c>
      <c r="G3" s="10">
        <v>250.67</v>
      </c>
      <c r="H3" s="10">
        <v>0</v>
      </c>
      <c r="I3" s="10">
        <v>66.7</v>
      </c>
    </row>
    <row r="4" spans="1:9" x14ac:dyDescent="0.25">
      <c r="A4" s="7" t="s">
        <v>49</v>
      </c>
      <c r="B4" s="7">
        <v>3</v>
      </c>
      <c r="C4" s="9">
        <v>4</v>
      </c>
      <c r="D4" s="9">
        <v>5</v>
      </c>
      <c r="E4" s="8">
        <v>3</v>
      </c>
      <c r="F4" s="9">
        <v>4</v>
      </c>
      <c r="G4" s="7">
        <v>136.37</v>
      </c>
      <c r="H4" s="7">
        <v>0</v>
      </c>
      <c r="I4" s="7">
        <v>100</v>
      </c>
    </row>
    <row r="5" spans="1:9" x14ac:dyDescent="0.25">
      <c r="A5" s="10" t="s">
        <v>62</v>
      </c>
      <c r="B5" s="10">
        <v>3</v>
      </c>
      <c r="C5" s="8">
        <v>3.33</v>
      </c>
      <c r="D5" s="8">
        <v>3</v>
      </c>
      <c r="E5" s="11">
        <v>2.67</v>
      </c>
      <c r="F5" s="8">
        <v>3</v>
      </c>
      <c r="G5" s="10">
        <v>199.43</v>
      </c>
      <c r="H5" s="10">
        <v>0</v>
      </c>
      <c r="I5" s="10">
        <v>33.299999999999997</v>
      </c>
    </row>
    <row r="6" spans="1:9" x14ac:dyDescent="0.25">
      <c r="A6" s="7" t="s">
        <v>75</v>
      </c>
      <c r="B6" s="7">
        <v>2</v>
      </c>
      <c r="C6" s="9">
        <v>4</v>
      </c>
      <c r="D6" s="9">
        <v>4</v>
      </c>
      <c r="E6" s="11">
        <v>2.5</v>
      </c>
      <c r="F6" s="8">
        <v>3.5</v>
      </c>
      <c r="G6" s="7">
        <v>155.15</v>
      </c>
      <c r="H6" s="7">
        <v>0</v>
      </c>
      <c r="I6" s="7">
        <v>100</v>
      </c>
    </row>
    <row r="7" spans="1:9" x14ac:dyDescent="0.25">
      <c r="A7" s="10" t="s">
        <v>84</v>
      </c>
      <c r="B7" s="10">
        <v>2</v>
      </c>
      <c r="C7" s="8">
        <v>3</v>
      </c>
      <c r="D7" s="8">
        <v>3</v>
      </c>
      <c r="E7" s="8">
        <v>3</v>
      </c>
      <c r="F7" s="8">
        <v>3</v>
      </c>
      <c r="G7" s="10">
        <v>122.7</v>
      </c>
      <c r="H7" s="10">
        <v>0</v>
      </c>
      <c r="I7" s="10">
        <v>50</v>
      </c>
    </row>
    <row r="8" spans="1:9" x14ac:dyDescent="0.25">
      <c r="A8" s="7" t="s">
        <v>93</v>
      </c>
      <c r="B8" s="7">
        <v>2</v>
      </c>
      <c r="C8" s="8">
        <v>3</v>
      </c>
      <c r="D8" s="8">
        <v>3</v>
      </c>
      <c r="E8" s="8">
        <v>3</v>
      </c>
      <c r="F8" s="8">
        <v>3</v>
      </c>
      <c r="G8" s="7">
        <v>110.99</v>
      </c>
      <c r="H8" s="7">
        <v>0</v>
      </c>
      <c r="I8" s="7" t="s">
        <v>95</v>
      </c>
    </row>
    <row r="9" spans="1:9" x14ac:dyDescent="0.25">
      <c r="A9" s="10" t="s">
        <v>102</v>
      </c>
      <c r="B9" s="10">
        <v>1</v>
      </c>
      <c r="C9" s="9">
        <v>4</v>
      </c>
      <c r="D9" s="8">
        <v>3</v>
      </c>
      <c r="E9" s="11">
        <v>2</v>
      </c>
      <c r="F9" s="8">
        <v>3</v>
      </c>
      <c r="G9" s="10">
        <v>232.85</v>
      </c>
      <c r="H9" s="10">
        <v>0</v>
      </c>
      <c r="I9" s="10">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4"/>
  <sheetViews>
    <sheetView showGridLines="0" workbookViewId="0"/>
  </sheetViews>
  <sheetFormatPr defaultRowHeight="15" x14ac:dyDescent="0.25"/>
  <cols>
    <col min="1" max="1" width="3" customWidth="1"/>
    <col min="2" max="2" width="35" customWidth="1"/>
    <col min="3" max="3" width="20" customWidth="1"/>
  </cols>
  <sheetData>
    <row r="1" spans="2:3" ht="32.1" customHeight="1" x14ac:dyDescent="0.25">
      <c r="B1" s="17" t="s">
        <v>113</v>
      </c>
      <c r="C1" s="18"/>
    </row>
    <row r="3" spans="2:3" ht="21.95" customHeight="1" x14ac:dyDescent="0.25">
      <c r="B3" s="12" t="s">
        <v>114</v>
      </c>
      <c r="C3" s="13">
        <v>21</v>
      </c>
    </row>
    <row r="4" spans="2:3" ht="21.95" customHeight="1" x14ac:dyDescent="0.25">
      <c r="B4" s="12" t="s">
        <v>115</v>
      </c>
      <c r="C4" s="13">
        <v>0</v>
      </c>
    </row>
    <row r="5" spans="2:3" ht="21.95" customHeight="1" x14ac:dyDescent="0.25">
      <c r="B5" s="12" t="s">
        <v>116</v>
      </c>
      <c r="C5" s="13" t="s">
        <v>117</v>
      </c>
    </row>
    <row r="6" spans="2:3" ht="15.95" customHeight="1" x14ac:dyDescent="0.25">
      <c r="B6" s="12" t="s">
        <v>118</v>
      </c>
      <c r="C6" s="13"/>
    </row>
    <row r="7" spans="2:3" ht="21.95" customHeight="1" x14ac:dyDescent="0.25">
      <c r="B7" s="12" t="s">
        <v>119</v>
      </c>
      <c r="C7" s="13" t="s">
        <v>120</v>
      </c>
    </row>
    <row r="8" spans="2:3" ht="21.95" customHeight="1" x14ac:dyDescent="0.25">
      <c r="B8" s="12" t="s">
        <v>110</v>
      </c>
      <c r="C8" s="13">
        <v>170.33</v>
      </c>
    </row>
    <row r="9" spans="2:3" ht="21.95" customHeight="1" x14ac:dyDescent="0.25">
      <c r="B9" s="12" t="s">
        <v>121</v>
      </c>
      <c r="C9" s="13">
        <v>258.73</v>
      </c>
    </row>
    <row r="10" spans="2:3" ht="15.95" customHeight="1" x14ac:dyDescent="0.25">
      <c r="B10" s="12" t="s">
        <v>122</v>
      </c>
      <c r="C10" s="13"/>
    </row>
    <row r="11" spans="2:3" ht="21.95" customHeight="1" x14ac:dyDescent="0.25">
      <c r="B11" s="12" t="s">
        <v>123</v>
      </c>
      <c r="C11" s="14">
        <v>3.57</v>
      </c>
    </row>
    <row r="12" spans="2:3" ht="21.95" customHeight="1" x14ac:dyDescent="0.25">
      <c r="B12" s="12" t="s">
        <v>124</v>
      </c>
      <c r="C12" s="14">
        <v>3.67</v>
      </c>
    </row>
    <row r="13" spans="2:3" ht="21.95" customHeight="1" x14ac:dyDescent="0.25">
      <c r="B13" s="12" t="s">
        <v>125</v>
      </c>
      <c r="C13" s="15">
        <v>2.86</v>
      </c>
    </row>
    <row r="14" spans="2:3" ht="21.95" customHeight="1" x14ac:dyDescent="0.25">
      <c r="B14" s="12" t="s">
        <v>126</v>
      </c>
      <c r="C14" s="14">
        <v>3.37</v>
      </c>
    </row>
  </sheetData>
  <mergeCells count="1">
    <mergeCell ref="B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heetViews>
  <sheetFormatPr defaultRowHeight="15" x14ac:dyDescent="0.25"/>
  <sheetData>
    <row r="1" spans="1:3" x14ac:dyDescent="0.25">
      <c r="A1" t="s">
        <v>127</v>
      </c>
      <c r="B1" t="s">
        <v>128</v>
      </c>
      <c r="C1" t="s">
        <v>129</v>
      </c>
    </row>
    <row r="2" spans="1:3" x14ac:dyDescent="0.25">
      <c r="A2" t="s">
        <v>130</v>
      </c>
      <c r="B2">
        <v>0</v>
      </c>
      <c r="C2" s="16">
        <f>B2/21</f>
        <v>0</v>
      </c>
    </row>
    <row r="3" spans="1:3" x14ac:dyDescent="0.25">
      <c r="A3" t="s">
        <v>131</v>
      </c>
      <c r="B3">
        <v>0</v>
      </c>
      <c r="C3" s="16">
        <f>B3/21</f>
        <v>0</v>
      </c>
    </row>
    <row r="4" spans="1:3" x14ac:dyDescent="0.25">
      <c r="A4" t="s">
        <v>132</v>
      </c>
      <c r="B4">
        <v>14</v>
      </c>
      <c r="C4" s="16">
        <f>B4/21</f>
        <v>0.66666666666666663</v>
      </c>
    </row>
    <row r="5" spans="1:3" x14ac:dyDescent="0.25">
      <c r="A5" t="s">
        <v>133</v>
      </c>
      <c r="B5">
        <v>6</v>
      </c>
      <c r="C5" s="16">
        <f>B5/21</f>
        <v>0.2857142857142857</v>
      </c>
    </row>
    <row r="6" spans="1:3" x14ac:dyDescent="0.25">
      <c r="A6" t="s">
        <v>134</v>
      </c>
      <c r="B6">
        <v>1</v>
      </c>
      <c r="C6" s="16">
        <f>B6/21</f>
        <v>4.7619047619047616E-2</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Detailed Results</vt:lpstr>
      <vt:lpstr>Category Summary</vt:lpstr>
      <vt:lpstr>Overall KPIs</vt:lpstr>
      <vt:lpstr>Charts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Tanvi Pathare</cp:lastModifiedBy>
  <dcterms:created xsi:type="dcterms:W3CDTF">2026-05-06T11:45:25Z</dcterms:created>
  <dcterms:modified xsi:type="dcterms:W3CDTF">2026-05-07T04:20:45Z</dcterms:modified>
</cp:coreProperties>
</file>
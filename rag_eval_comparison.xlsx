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arison Summary" sheetId="1" state="visible" r:id="rId1"/>
    <sheet name="qwen Details" sheetId="2" state="visible" r:id="rId2"/>
    <sheet name="openai_gpt-oss Details" sheetId="3" state="visible" r:id="rId3"/>
    <sheet name="ollama Detail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b val="1"/>
      <color rgb="00FFFFFF"/>
      <sz val="10"/>
    </font>
    <font>
      <name val="Arial"/>
      <b val="1"/>
      <sz val="10"/>
    </font>
    <font>
      <name val="Arial"/>
      <sz val="10"/>
    </font>
    <font>
      <name val="Arial"/>
      <sz val="9"/>
    </font>
    <font>
      <name val="Arial"/>
      <color rgb="00C00000"/>
      <sz val="9"/>
    </font>
  </fonts>
  <fills count="8">
    <fill>
      <patternFill/>
    </fill>
    <fill>
      <patternFill patternType="gray125"/>
    </fill>
    <fill>
      <patternFill patternType="solid">
        <fgColor rgb="001F3864"/>
      </patternFill>
    </fill>
    <fill>
      <patternFill patternType="solid">
        <fgColor rgb="00EBF3FF"/>
      </patternFill>
    </fill>
    <fill>
      <patternFill patternType="solid">
        <fgColor rgb="00FFEB9C"/>
      </patternFill>
    </fill>
    <fill>
      <patternFill patternType="solid">
        <fgColor rgb="00FFC7CE"/>
      </patternFill>
    </fill>
    <fill>
      <patternFill patternType="solid">
        <fgColor rgb="00C6EFCE"/>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4" fillId="4" borderId="1" applyAlignment="1" pivotButton="0" quotePrefix="0" xfId="0">
      <alignment horizontal="center" vertical="center"/>
    </xf>
    <xf numFmtId="0" fontId="4" fillId="6" borderId="1" applyAlignment="1" pivotButton="0" quotePrefix="0" xfId="0">
      <alignment horizontal="center" vertical="center"/>
    </xf>
    <xf numFmtId="0" fontId="4" fillId="3" borderId="1" applyAlignment="1" pivotButton="0" quotePrefix="0" xfId="0">
      <alignment horizontal="center" vertical="center"/>
    </xf>
    <xf numFmtId="0" fontId="3" fillId="7" borderId="1" applyAlignment="1" pivotButton="0" quotePrefix="0" xfId="0">
      <alignment horizontal="center" vertical="center"/>
    </xf>
    <xf numFmtId="0" fontId="4" fillId="7" borderId="1" applyAlignment="1" pivotButton="0" quotePrefix="0" xfId="0">
      <alignment horizontal="center" vertical="center"/>
    </xf>
    <xf numFmtId="0" fontId="2" fillId="2" borderId="0" applyAlignment="1" pivotButton="0" quotePrefix="0" xfId="0">
      <alignment horizontal="center" vertical="center" wrapText="1"/>
    </xf>
    <xf numFmtId="0" fontId="5" fillId="3" borderId="1" applyAlignment="1" pivotButton="0" quotePrefix="0" xfId="0">
      <alignment vertical="top" wrapText="1"/>
    </xf>
    <xf numFmtId="0" fontId="5" fillId="7" borderId="1" applyAlignment="1" pivotButton="0" quotePrefix="0" xfId="0">
      <alignment vertical="top" wrapText="1"/>
    </xf>
    <xf numFmtId="0" fontId="6" fillId="3" borderId="1" applyAlignment="1" pivotButton="0" quotePrefix="0" xfId="0">
      <alignment vertical="top" wrapText="1"/>
    </xf>
    <xf numFmtId="0" fontId="6" fillId="7" borderId="1" applyAlignment="1" pivotButton="0" quotePrefix="0" xfId="0">
      <alignment vertical="top" wrapText="1"/>
    </xf>
    <xf numFmtId="0" fontId="5" fillId="5" borderId="1" applyAlignment="1" pivotButton="0" quotePrefix="0" xfId="0">
      <alignment vertical="top" wrapText="1"/>
    </xf>
    <xf numFmtId="0" fontId="5" fillId="4" borderId="1" applyAlignment="1" pivotButton="0" quotePrefix="0" xfId="0">
      <alignment vertical="top" wrapText="1"/>
    </xf>
    <xf numFmtId="0" fontId="5"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J6"/>
  <sheetViews>
    <sheetView showGridLines="0" workbookViewId="0">
      <selection activeCell="A1" sqref="A1"/>
    </sheetView>
  </sheetViews>
  <sheetFormatPr baseColWidth="8" defaultRowHeight="15"/>
  <cols>
    <col width="20" customWidth="1" min="2" max="2"/>
    <col width="15" customWidth="1" min="3" max="3"/>
    <col width="16" customWidth="1" min="4" max="4"/>
    <col width="18" customWidth="1" min="5" max="5"/>
    <col width="16" customWidth="1" min="6" max="6"/>
    <col width="16" customWidth="1" min="7" max="7"/>
    <col width="18" customWidth="1" min="8" max="8"/>
    <col width="14" customWidth="1" min="9" max="9"/>
  </cols>
  <sheetData>
    <row r="1" ht="32" customHeight="1">
      <c r="B1" s="1" t="inlineStr">
        <is>
          <t>NIFTY RAG Chatbot - Model Comparison</t>
        </is>
      </c>
    </row>
    <row r="3" ht="28" customHeight="1">
      <c r="B3" s="2" t="inlineStr">
        <is>
          <t>Model</t>
        </is>
      </c>
      <c r="C3" s="2" t="inlineStr">
        <is>
          <t>Avg Score
(1-5)</t>
        </is>
      </c>
      <c r="D3" s="2" t="inlineStr">
        <is>
          <t>Faithfulness
(1-5)</t>
        </is>
      </c>
      <c r="E3" s="2" t="inlineStr">
        <is>
          <t>Answer Relevance
(1-5)</t>
        </is>
      </c>
      <c r="F3" s="2" t="inlineStr">
        <is>
          <t>Completeness
(1-5)</t>
        </is>
      </c>
      <c r="G3" s="2" t="inlineStr">
        <is>
          <t>Avg Latency
(s)</t>
        </is>
      </c>
      <c r="H3" s="2" t="inlineStr">
        <is>
          <t>Context Hit
Rate %</t>
        </is>
      </c>
      <c r="I3" s="2" t="inlineStr">
        <is>
          <t>Answer Mentions
Entity %</t>
        </is>
      </c>
      <c r="J3" s="2" t="inlineStr">
        <is>
          <t>Error Rate
%</t>
        </is>
      </c>
    </row>
    <row r="4" ht="24" customHeight="1">
      <c r="B4" s="3" t="inlineStr">
        <is>
          <t>qwen</t>
        </is>
      </c>
      <c r="C4" s="4" t="n">
        <v>3</v>
      </c>
      <c r="D4" s="5" t="n">
        <v>2</v>
      </c>
      <c r="E4" s="6" t="n">
        <v>3</v>
      </c>
      <c r="F4" s="7" t="n">
        <v>4</v>
      </c>
      <c r="G4" s="8" t="n">
        <v>33.36</v>
      </c>
      <c r="H4" s="8" t="inlineStr">
        <is>
          <t>5.3%</t>
        </is>
      </c>
      <c r="I4" s="8" t="inlineStr">
        <is>
          <t>0.0%</t>
        </is>
      </c>
      <c r="J4" s="8" t="inlineStr">
        <is>
          <t>90.5%</t>
        </is>
      </c>
    </row>
    <row r="5" ht="24" customHeight="1">
      <c r="B5" s="9" t="inlineStr">
        <is>
          <t>openai/gpt-oss</t>
        </is>
      </c>
      <c r="C5" s="4" t="n">
        <v>3.27</v>
      </c>
      <c r="D5" s="5" t="n">
        <v>2.71</v>
      </c>
      <c r="E5" s="6" t="n">
        <v>3.48</v>
      </c>
      <c r="F5" s="6" t="n">
        <v>3.62</v>
      </c>
      <c r="G5" s="10" t="n">
        <v>3.27</v>
      </c>
      <c r="H5" s="10" t="inlineStr">
        <is>
          <t>94.7%</t>
        </is>
      </c>
      <c r="I5" s="10" t="inlineStr">
        <is>
          <t>15.8%</t>
        </is>
      </c>
      <c r="J5" s="10" t="inlineStr">
        <is>
          <t>0.0%</t>
        </is>
      </c>
    </row>
    <row r="6" ht="24" customHeight="1">
      <c r="B6" s="3" t="inlineStr">
        <is>
          <t>ollama</t>
        </is>
      </c>
      <c r="C6" s="4" t="n">
        <v>3.4</v>
      </c>
      <c r="D6" s="6" t="n">
        <v>3.71</v>
      </c>
      <c r="E6" s="6" t="n">
        <v>3.67</v>
      </c>
      <c r="F6" s="5" t="n">
        <v>2.81</v>
      </c>
      <c r="G6" s="8" t="n">
        <v>6.35</v>
      </c>
      <c r="H6" s="8" t="inlineStr">
        <is>
          <t>94.7%</t>
        </is>
      </c>
      <c r="I6" s="8" t="inlineStr">
        <is>
          <t>52.6%</t>
        </is>
      </c>
      <c r="J6" s="8" t="inlineStr">
        <is>
          <t>0.0%</t>
        </is>
      </c>
    </row>
  </sheetData>
  <mergeCells count="1">
    <mergeCell ref="B1:J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38" customWidth="1" min="3" max="3"/>
    <col width="45" customWidth="1" min="4" max="4"/>
    <col width="45" customWidth="1" min="5" max="5"/>
    <col width="12" customWidth="1" min="6" max="6"/>
    <col width="12" customWidth="1" min="7" max="7"/>
    <col width="12" customWidth="1" min="8" max="8"/>
    <col width="10" customWidth="1" min="9" max="9"/>
    <col width="11" customWidth="1" min="10" max="10"/>
    <col width="13" customWidth="1" min="11" max="11"/>
    <col width="11" customWidth="1" min="12" max="12"/>
    <col width="10" customWidth="1" min="13" max="13"/>
    <col width="22" customWidth="1" min="14" max="14"/>
    <col width="40" customWidth="1" min="15" max="15"/>
  </cols>
  <sheetData>
    <row r="1" ht="36" customHeight="1">
      <c r="A1" s="11" t="inlineStr">
        <is>
          <t>ID</t>
        </is>
      </c>
      <c r="B1" s="11" t="inlineStr">
        <is>
          <t>Category</t>
        </is>
      </c>
      <c r="C1" s="11" t="inlineStr">
        <is>
          <t>Question</t>
        </is>
      </c>
      <c r="D1" s="11" t="inlineStr">
        <is>
          <t>Answer</t>
        </is>
      </c>
      <c r="E1" s="11" t="inlineStr">
        <is>
          <t>Retrieved Context</t>
        </is>
      </c>
      <c r="F1" s="11" t="inlineStr">
        <is>
          <t>Faithfulness
(1-5)</t>
        </is>
      </c>
      <c r="G1" s="11" t="inlineStr">
        <is>
          <t>Answer Relevance
(1-5)</t>
        </is>
      </c>
      <c r="H1" s="11" t="inlineStr">
        <is>
          <t>Completeness
(1-5)</t>
        </is>
      </c>
      <c r="I1" s="11" t="inlineStr">
        <is>
          <t>Avg Score</t>
        </is>
      </c>
      <c r="J1" s="11" t="inlineStr">
        <is>
          <t>Context Hit</t>
        </is>
      </c>
      <c r="K1" s="11" t="inlineStr">
        <is>
          <t>Answer Mentions
Entity</t>
        </is>
      </c>
      <c r="L1" s="11" t="inlineStr">
        <is>
          <t>All Entities
Hit</t>
        </is>
      </c>
      <c r="M1" s="11" t="inlineStr">
        <is>
          <t>Latency (s)</t>
        </is>
      </c>
      <c r="N1" s="11" t="inlineStr">
        <is>
          <t>Error</t>
        </is>
      </c>
      <c r="O1" s="11" t="inlineStr">
        <is>
          <t>Judge Reasoning</t>
        </is>
      </c>
    </row>
    <row r="2">
      <c r="A2" s="12" t="inlineStr">
        <is>
          <t>F01</t>
        </is>
      </c>
      <c r="B2" s="12" t="inlineStr">
        <is>
          <t>Single-Company Factual</t>
        </is>
      </c>
      <c r="C2" s="12" t="inlineStr">
        <is>
          <t>What is the current revenue of TCS?</t>
        </is>
      </c>
      <c r="D2" s="12" t="inlineStr"/>
      <c r="E2" s="12" t="inlineStr"/>
      <c r="F2" s="13" t="n"/>
      <c r="G2" s="13" t="n"/>
      <c r="H2" s="13" t="n"/>
      <c r="I2" s="13" t="n"/>
      <c r="J2" s="12" t="inlineStr">
        <is>
          <t>No</t>
        </is>
      </c>
      <c r="K2" s="12" t="inlineStr">
        <is>
          <t>No</t>
        </is>
      </c>
      <c r="L2" s="12" t="inlineStr">
        <is>
          <t>N/A</t>
        </is>
      </c>
      <c r="M2" s="12" t="n">
        <v>0</v>
      </c>
      <c r="N2" s="12" t="inlineStr">
        <is>
          <t>RateLimitError: Error code: 429 - {'error': {'message': 'Rate limit reached for model `qwen/qwen3.6-27b` in organization `org_01kqgw48c0fdqb9cnmbe9m2c95` service tier `on_demand` on tokens per day (TPD): Limit 200000, Used 199083, Requested 1200. Please try again in 2m2.256s. Need more tokens? Upgrade to Dev Tier today at https://console.groq.com/settings/billing', 'type': 'tokens', 'code': 'rate_limit_exceeded'}}</t>
        </is>
      </c>
      <c r="O2" s="14" t="inlineStr">
        <is>
          <t>Skipped: upstream call failed (see Error column)</t>
        </is>
      </c>
    </row>
    <row r="3">
      <c r="A3" s="13" t="inlineStr">
        <is>
          <t>F02</t>
        </is>
      </c>
      <c r="B3" s="13" t="inlineStr">
        <is>
          <t>Single-Company Factual</t>
        </is>
      </c>
      <c r="C3" s="13" t="inlineStr">
        <is>
          <t>Who leads Reliance Industries?</t>
        </is>
      </c>
      <c r="D3" s="13" t="inlineStr"/>
      <c r="E3" s="13" t="inlineStr"/>
      <c r="F3" s="13" t="n"/>
      <c r="G3" s="13" t="n"/>
      <c r="H3" s="13" t="n"/>
      <c r="I3" s="13" t="n"/>
      <c r="J3" s="13" t="inlineStr">
        <is>
          <t>No</t>
        </is>
      </c>
      <c r="K3" s="13" t="inlineStr">
        <is>
          <t>No</t>
        </is>
      </c>
      <c r="L3" s="13" t="inlineStr">
        <is>
          <t>N/A</t>
        </is>
      </c>
      <c r="M3" s="13" t="n">
        <v>0</v>
      </c>
      <c r="N3" s="13" t="inlineStr">
        <is>
          <t>RateLimitError: Error code: 429 - {'error': {'message': 'Rate limit reached for model `qwen/qwen3.6-27b` in organization `org_01kqgw48c0fdqb9cnmbe9m2c95` service tier `on_demand` on tokens per day (TPD): Limit 200000, Used 199057, Requested 1277. Please try again in 2m24.288s. Need more tokens? Upgrade to Dev Tier today at https://console.groq.com/settings/billing', 'type': 'tokens', 'code': 'rate_limit_exceeded'}}</t>
        </is>
      </c>
      <c r="O3" s="15" t="inlineStr">
        <is>
          <t>Skipped: upstream call failed (see Error column)</t>
        </is>
      </c>
    </row>
    <row r="4">
      <c r="A4" s="12" t="inlineStr">
        <is>
          <t>F03</t>
        </is>
      </c>
      <c r="B4" s="12" t="inlineStr">
        <is>
          <t>Single-Company Factual</t>
        </is>
      </c>
      <c r="C4" s="12" t="inlineStr">
        <is>
          <t>What sector does Infosys operate in?</t>
        </is>
      </c>
      <c r="D4" s="12" t="inlineStr"/>
      <c r="E4" s="12" t="inlineStr"/>
      <c r="F4" s="13" t="n"/>
      <c r="G4" s="13" t="n"/>
      <c r="H4" s="13" t="n"/>
      <c r="I4" s="13" t="n"/>
      <c r="J4" s="12" t="inlineStr">
        <is>
          <t>No</t>
        </is>
      </c>
      <c r="K4" s="12" t="inlineStr">
        <is>
          <t>No</t>
        </is>
      </c>
      <c r="L4" s="12" t="inlineStr">
        <is>
          <t>N/A</t>
        </is>
      </c>
      <c r="M4" s="12" t="n">
        <v>0</v>
      </c>
      <c r="N4" s="12" t="inlineStr">
        <is>
          <t>RateLimitError: Error code: 429 - {'error': {'message': 'Rate limit reached for model `qwen/qwen3.6-27b` in organization `org_01kqgw48c0fdqb9cnmbe9m2c95` service tier `on_demand` on tokens per day (TPD): Limit 200000, Used 199029, Requested 1263. Please try again in 2m6.143999999s. Need more tokens? Upgrade to Dev Tier today at https://console.groq.com/settings/billing', 'type': 'tokens', 'code': 'rate_limit_exceeded'}}</t>
        </is>
      </c>
      <c r="O4" s="14" t="inlineStr">
        <is>
          <t>Skipped: upstream call failed (see Error column)</t>
        </is>
      </c>
    </row>
    <row r="5">
      <c r="A5" s="13" t="inlineStr">
        <is>
          <t>F04</t>
        </is>
      </c>
      <c r="B5" s="13" t="inlineStr">
        <is>
          <t>Single-Company Factual</t>
        </is>
      </c>
      <c r="C5" s="13" t="inlineStr">
        <is>
          <t>What is HDFC Bank's net profit for the latest reported quarter?</t>
        </is>
      </c>
      <c r="D5" s="13" t="inlineStr"/>
      <c r="E5" s="13" t="inlineStr"/>
      <c r="F5" s="13" t="n"/>
      <c r="G5" s="13" t="n"/>
      <c r="H5" s="13" t="n"/>
      <c r="I5" s="13" t="n"/>
      <c r="J5" s="13" t="inlineStr">
        <is>
          <t>No</t>
        </is>
      </c>
      <c r="K5" s="13" t="inlineStr">
        <is>
          <t>No</t>
        </is>
      </c>
      <c r="L5" s="13" t="inlineStr">
        <is>
          <t>N/A</t>
        </is>
      </c>
      <c r="M5" s="13" t="n">
        <v>0</v>
      </c>
      <c r="N5" s="13" t="inlineStr">
        <is>
          <t>RateLimitError: Error code: 429 - {'error': {'message': 'Rate limit reached for model `qwen/qwen3.6-27b` in organization `org_01kqgw48c0fdqb9cnmbe9m2c95` service tier `on_demand` on tokens per day (TPD): Limit 200000, Used 199001, Requested 1777. Please try again in 5m36.096s. Need more tokens? Upgrade to Dev Tier today at https://console.groq.com/settings/billing', 'type': 'tokens', 'code': 'rate_limit_exceeded'}}</t>
        </is>
      </c>
      <c r="O5" s="15" t="inlineStr">
        <is>
          <t>Skipped: upstream call failed (see Error column)</t>
        </is>
      </c>
    </row>
    <row r="6">
      <c r="A6" s="12" t="inlineStr">
        <is>
          <t>F05</t>
        </is>
      </c>
      <c r="B6" s="12" t="inlineStr">
        <is>
          <t>Single-Company Factual</t>
        </is>
      </c>
      <c r="C6" s="12" t="inlineStr">
        <is>
          <t>What is the debt-to-equity ratio of Tata Motors?</t>
        </is>
      </c>
      <c r="D6" s="12" t="inlineStr"/>
      <c r="E6" s="12" t="inlineStr"/>
      <c r="F6" s="13" t="n"/>
      <c r="G6" s="13" t="n"/>
      <c r="H6" s="13" t="n"/>
      <c r="I6" s="13" t="n"/>
      <c r="J6" s="12" t="inlineStr">
        <is>
          <t>No</t>
        </is>
      </c>
      <c r="K6" s="12" t="inlineStr">
        <is>
          <t>No</t>
        </is>
      </c>
      <c r="L6" s="12" t="inlineStr">
        <is>
          <t>N/A</t>
        </is>
      </c>
      <c r="M6" s="12" t="n">
        <v>0</v>
      </c>
      <c r="N6" s="12" t="inlineStr">
        <is>
          <t>RateLimitError: Error code: 429 - {'error': {'message': 'Rate limit reached for model `qwen/qwen3.6-27b` in organization `org_01kqgw48c0fdqb9cnmbe9m2c95` service tier `on_demand` on tokens per day (TPD): Limit 200000, Used 198975, Requested 2655. Please try again in 11m44.16s. Need more tokens? Upgrade to Dev Tier today at https://console.groq.com/settings/billing', 'type': 'tokens', 'code': 'rate_limit_exceeded'}}</t>
        </is>
      </c>
      <c r="O6" s="14" t="inlineStr">
        <is>
          <t>Skipped: upstream call failed (see Error column)</t>
        </is>
      </c>
    </row>
    <row r="7">
      <c r="A7" s="13" t="inlineStr">
        <is>
          <t>C01</t>
        </is>
      </c>
      <c r="B7" s="13" t="inlineStr">
        <is>
          <t>Comparison</t>
        </is>
      </c>
      <c r="C7" s="13" t="inlineStr">
        <is>
          <t>Compare the revenue of TCS and Infosys.</t>
        </is>
      </c>
      <c r="D7" s="13" t="inlineStr"/>
      <c r="E7" s="13" t="inlineStr"/>
      <c r="F7" s="13" t="n"/>
      <c r="G7" s="13" t="n"/>
      <c r="H7" s="13" t="n"/>
      <c r="I7" s="13" t="n"/>
      <c r="J7" s="13" t="inlineStr">
        <is>
          <t>No</t>
        </is>
      </c>
      <c r="K7" s="13" t="inlineStr">
        <is>
          <t>No</t>
        </is>
      </c>
      <c r="L7" s="13" t="inlineStr">
        <is>
          <t>No</t>
        </is>
      </c>
      <c r="M7" s="13" t="n">
        <v>0</v>
      </c>
      <c r="N7" s="13" t="inlineStr">
        <is>
          <t>RateLimitError: Error code: 429 - {'error': {'message': 'Rate limit reached for model `qwen/qwen3.6-27b` in organization `org_01kqgw48c0fdqb9cnmbe9m2c95` service tier `on_demand` on tokens per day (TPD): Limit 200000, Used 198948, Requested 1794. Please try again in 5m20.544s. Need more tokens? Upgrade to Dev Tier today at https://console.groq.com/settings/billing', 'type': 'tokens', 'code': 'rate_limit_exceeded'}}</t>
        </is>
      </c>
      <c r="O7" s="15" t="inlineStr">
        <is>
          <t>Skipped: upstream call failed (see Error column)</t>
        </is>
      </c>
    </row>
    <row r="8">
      <c r="A8" s="12" t="inlineStr">
        <is>
          <t>C02</t>
        </is>
      </c>
      <c r="B8" s="12" t="inlineStr">
        <is>
          <t>Comparison</t>
        </is>
      </c>
      <c r="C8" s="12" t="inlineStr">
        <is>
          <t>Which has a higher market cap, Wipro or HCL Technologies?</t>
        </is>
      </c>
      <c r="D8" s="12" t="inlineStr"/>
      <c r="E8" s="12" t="inlineStr"/>
      <c r="F8" s="13" t="n"/>
      <c r="G8" s="13" t="n"/>
      <c r="H8" s="13" t="n"/>
      <c r="I8" s="13" t="n"/>
      <c r="J8" s="12" t="inlineStr">
        <is>
          <t>No</t>
        </is>
      </c>
      <c r="K8" s="12" t="inlineStr">
        <is>
          <t>No</t>
        </is>
      </c>
      <c r="L8" s="12" t="inlineStr">
        <is>
          <t>No</t>
        </is>
      </c>
      <c r="M8" s="12" t="n">
        <v>0</v>
      </c>
      <c r="N8" s="12" t="inlineStr">
        <is>
          <t>RateLimitError: Error code: 429 - {'error': {'message': 'Rate limit reached for model `qwen/qwen3.6-27b` in organization `org_01kqgw48c0fdqb9cnmbe9m2c95` service tier `on_demand` on tokens per day (TPD): Limit 200000, Used 198921, Requested 2130. Please try again in 7m34.032s. Need more tokens? Upgrade to Dev Tier today at https://console.groq.com/settings/billing', 'type': 'tokens', 'code': 'rate_limit_exceeded'}}</t>
        </is>
      </c>
      <c r="O8" s="14" t="inlineStr">
        <is>
          <t>Skipped: upstream call failed (see Error column)</t>
        </is>
      </c>
    </row>
    <row r="9">
      <c r="A9" s="13" t="inlineStr">
        <is>
          <t>C03</t>
        </is>
      </c>
      <c r="B9" s="13" t="inlineStr">
        <is>
          <t>Comparison</t>
        </is>
      </c>
      <c r="C9" s="13" t="inlineStr">
        <is>
          <t>How does HDFC Bank's PAT compare to ICICI Bank?</t>
        </is>
      </c>
      <c r="D9" s="13" t="inlineStr"/>
      <c r="E9" s="13" t="inlineStr"/>
      <c r="F9" s="13" t="n"/>
      <c r="G9" s="13" t="n"/>
      <c r="H9" s="13" t="n"/>
      <c r="I9" s="13" t="n"/>
      <c r="J9" s="13" t="inlineStr">
        <is>
          <t>No</t>
        </is>
      </c>
      <c r="K9" s="13" t="inlineStr">
        <is>
          <t>No</t>
        </is>
      </c>
      <c r="L9" s="13" t="inlineStr">
        <is>
          <t>No</t>
        </is>
      </c>
      <c r="M9" s="13" t="n">
        <v>0</v>
      </c>
      <c r="N9" s="13" t="inlineStr">
        <is>
          <t>RateLimitError: Error code: 429 - {'error': {'message': 'Rate limit reached for model `qwen/qwen3.6-27b` in organization `org_01kqgw48c0fdqb9cnmbe9m2c95` service tier `on_demand` on tokens per day (TPD): Limit 200000, Used 198894, Requested 2229. Please try again in 8m5.136s. Need more tokens? Upgrade to Dev Tier today at https://console.groq.com/settings/billing', 'type': 'tokens', 'code': 'rate_limit_exceeded'}}</t>
        </is>
      </c>
      <c r="O9" s="15" t="inlineStr">
        <is>
          <t>Skipped: upstream call failed (see Error column)</t>
        </is>
      </c>
    </row>
    <row r="10">
      <c r="A10" s="12" t="inlineStr">
        <is>
          <t>S01</t>
        </is>
      </c>
      <c r="B10" s="12" t="inlineStr">
        <is>
          <t>Sector</t>
        </is>
      </c>
      <c r="C10" s="12" t="inlineStr">
        <is>
          <t>Which NIFTY 50 companies belong to the IT sector?</t>
        </is>
      </c>
      <c r="D10" s="12" t="inlineStr">
        <is>
          <t>I do not have that data in my records.</t>
        </is>
      </c>
      <c r="E10" s="12">
        <f>== BEL | Company | Bharat Electronics Limited ===
Sector: Industrials
Industry: Aerospace &amp; Defense
Insiders Holding: 53.2%
Institutions Holding: 25.6%
EBITDA: ₹22.66 Billion (2025-12-31) | ₹14.02 Billion (2025-06-30) | ₹31.52 Billion (2025-03-31) | ₹18.56 Billion (2024-12-31) | ₹15.58 Billion (2024-09-30) | ₹22.66 Billion (2025-12-31) | ₹14.02 Billion (2025-06-30) | ₹30.10 Billion (2025-03-31) | ₹18.56 Billion (2024-12-31) | ₹15.58 Billion (2024-09-30)
Gross Profit: ₹33.29 Billion (2025-12-31)...</f>
        <v/>
      </c>
      <c r="F10" s="16" t="n">
        <v>2</v>
      </c>
      <c r="G10" s="17" t="n">
        <v>3</v>
      </c>
      <c r="H10" s="18" t="n">
        <v>4</v>
      </c>
      <c r="I10" s="17" t="n">
        <v>3</v>
      </c>
      <c r="J10" s="12" t="inlineStr">
        <is>
          <t>Yes</t>
        </is>
      </c>
      <c r="K10" s="12" t="inlineStr">
        <is>
          <t>No</t>
        </is>
      </c>
      <c r="L10" s="12" t="inlineStr">
        <is>
          <t>N/A</t>
        </is>
      </c>
      <c r="M10" s="12" t="n">
        <v>2.476</v>
      </c>
      <c r="N10" s="12" t="inlineStr"/>
      <c r="O10" s="14" t="inlineStr">
        <is>
          <t>Answer avoids hallucinations but lacks data</t>
        </is>
      </c>
    </row>
    <row r="11">
      <c r="A11" s="13" t="inlineStr">
        <is>
          <t>S02</t>
        </is>
      </c>
      <c r="B11" s="13" t="inlineStr">
        <is>
          <t>Sector</t>
        </is>
      </c>
      <c r="C11" s="13" t="inlineStr">
        <is>
          <t>List all banking companies in the NIFTY 50.</t>
        </is>
      </c>
      <c r="D11" s="13" t="inlineStr"/>
      <c r="E11" s="13" t="inlineStr"/>
      <c r="F11" s="13" t="n"/>
      <c r="G11" s="13" t="n"/>
      <c r="H11" s="13" t="n"/>
      <c r="I11" s="13" t="n"/>
      <c r="J11" s="13" t="inlineStr">
        <is>
          <t>No</t>
        </is>
      </c>
      <c r="K11" s="13" t="inlineStr">
        <is>
          <t>No</t>
        </is>
      </c>
      <c r="L11" s="13" t="inlineStr">
        <is>
          <t>No</t>
        </is>
      </c>
      <c r="M11" s="13" t="n">
        <v>0</v>
      </c>
      <c r="N11" s="13" t="inlineStr">
        <is>
          <t>RateLimitError: Error code: 429 - {'error': {'message': 'Rate limit reached for model `qwen/qwen3.6-27b` in organization `org_01kqgw48c0fdqb9cnmbe9m2c95` service tier `on_demand` on tokens per day (TPD): Limit 200000, Used 199964, Requested 799. Please try again in 5m29.616s. Need more tokens? Upgrade to Dev Tier today at https://console.groq.com/settings/billing', 'type': 'tokens', 'code': 'rate_limit_exceeded'}}</t>
        </is>
      </c>
      <c r="O11" s="15" t="inlineStr">
        <is>
          <t>Skipped: upstream call failed (see Error column)</t>
        </is>
      </c>
    </row>
    <row r="12">
      <c r="A12" s="12" t="inlineStr">
        <is>
          <t>S03</t>
        </is>
      </c>
      <c r="B12" s="12" t="inlineStr">
        <is>
          <t>Sector</t>
        </is>
      </c>
      <c r="C12" s="12" t="inlineStr">
        <is>
          <t>Which energy sector stocks are part of NIFTY 50?</t>
        </is>
      </c>
      <c r="D12" s="12" t="inlineStr"/>
      <c r="E12" s="12" t="inlineStr"/>
      <c r="F12" s="13" t="n"/>
      <c r="G12" s="13" t="n"/>
      <c r="H12" s="13" t="n"/>
      <c r="I12" s="13" t="n"/>
      <c r="J12" s="12" t="inlineStr">
        <is>
          <t>No</t>
        </is>
      </c>
      <c r="K12" s="12" t="inlineStr">
        <is>
          <t>No</t>
        </is>
      </c>
      <c r="L12" s="12" t="inlineStr">
        <is>
          <t>No</t>
        </is>
      </c>
      <c r="M12" s="12" t="n">
        <v>0</v>
      </c>
      <c r="N12" s="12" t="inlineStr">
        <is>
          <t>RateLimitError: Error code: 429 - {'error': {'message': 'Rate limit reached for model `qwen/qwen3.6-27b` in organization `org_01kqgw48c0fdqb9cnmbe9m2c95` service tier `on_demand` on tokens per day (TPD): Limit 200000, Used 199929, Requested 792. Please try again in 5m11.472s. Need more tokens? Upgrade to Dev Tier today at https://console.groq.com/settings/billing', 'type': 'tokens', 'code': 'rate_limit_exceeded'}}</t>
        </is>
      </c>
      <c r="O12" s="14" t="inlineStr">
        <is>
          <t>Skipped: upstream call failed (see Error column)</t>
        </is>
      </c>
    </row>
    <row r="13">
      <c r="A13" s="13" t="inlineStr">
        <is>
          <t>M01</t>
        </is>
      </c>
      <c r="B13" s="13" t="inlineStr">
        <is>
          <t>Financial Metric</t>
        </is>
      </c>
      <c r="C13" s="13" t="inlineStr">
        <is>
          <t>What is the P/E ratio of Bajaj Finance?</t>
        </is>
      </c>
      <c r="D13" s="13" t="inlineStr"/>
      <c r="E13" s="13" t="inlineStr"/>
      <c r="F13" s="13" t="n"/>
      <c r="G13" s="13" t="n"/>
      <c r="H13" s="13" t="n"/>
      <c r="I13" s="13" t="n"/>
      <c r="J13" s="13" t="inlineStr">
        <is>
          <t>No</t>
        </is>
      </c>
      <c r="K13" s="13" t="inlineStr">
        <is>
          <t>No</t>
        </is>
      </c>
      <c r="L13" s="13" t="inlineStr">
        <is>
          <t>N/A</t>
        </is>
      </c>
      <c r="M13" s="13" t="n">
        <v>0</v>
      </c>
      <c r="N13" s="13" t="inlineStr">
        <is>
          <t>RateLimitError: Error code: 429 - {'error': {'message': 'Rate limit reached for model `qwen/qwen3.6-27b` in organization `org_01kqgw48c0fdqb9cnmbe9m2c95` service tier `on_demand` on tokens per day (TPD): Limit 200000, Used 199903, Requested 2271. Please try again in 15m39.168s. Need more tokens? Upgrade to Dev Tier today at https://console.groq.com/settings/billing', 'type': 'tokens', 'code': 'rate_limit_exceeded'}}</t>
        </is>
      </c>
      <c r="O13" s="15" t="inlineStr">
        <is>
          <t>Skipped: upstream call failed (see Error column)</t>
        </is>
      </c>
    </row>
    <row r="14">
      <c r="A14" s="12" t="inlineStr">
        <is>
          <t>M02</t>
        </is>
      </c>
      <c r="B14" s="12" t="inlineStr">
        <is>
          <t>Financial Metric</t>
        </is>
      </c>
      <c r="C14" s="12" t="inlineStr">
        <is>
          <t>What is the EPS of Asian Paints?</t>
        </is>
      </c>
      <c r="D14" s="12" t="inlineStr"/>
      <c r="E14" s="12" t="inlineStr"/>
      <c r="F14" s="13" t="n"/>
      <c r="G14" s="13" t="n"/>
      <c r="H14" s="13" t="n"/>
      <c r="I14" s="13" t="n"/>
      <c r="J14" s="12" t="inlineStr">
        <is>
          <t>No</t>
        </is>
      </c>
      <c r="K14" s="12" t="inlineStr">
        <is>
          <t>No</t>
        </is>
      </c>
      <c r="L14" s="12" t="inlineStr">
        <is>
          <t>N/A</t>
        </is>
      </c>
      <c r="M14" s="12" t="n">
        <v>0</v>
      </c>
      <c r="N14" s="12" t="inlineStr">
        <is>
          <t>RateLimitError: Error code: 429 - {'error': {'message': 'Rate limit reached for model `qwen/qwen3.6-27b` in organization `org_01kqgw48c0fdqb9cnmbe9m2c95` service tier `on_demand` on tokens per day (TPD): Limit 200000, Used 199877, Requested 1931. Please try again in 13m1.055999999s. Need more tokens? Upgrade to Dev Tier today at https://console.groq.com/settings/billing', 'type': 'tokens', 'code': 'rate_limit_exceeded'}}</t>
        </is>
      </c>
      <c r="O14" s="14" t="inlineStr">
        <is>
          <t>Skipped: upstream call failed (see Error column)</t>
        </is>
      </c>
    </row>
    <row r="15">
      <c r="A15" s="13" t="inlineStr">
        <is>
          <t>M03</t>
        </is>
      </c>
      <c r="B15" s="13" t="inlineStr">
        <is>
          <t>Financial Metric</t>
        </is>
      </c>
      <c r="C15" s="13" t="inlineStr">
        <is>
          <t>What is the dividend yield of Coal India?</t>
        </is>
      </c>
      <c r="D15" s="13" t="inlineStr"/>
      <c r="E15" s="13" t="inlineStr"/>
      <c r="F15" s="13" t="n"/>
      <c r="G15" s="13" t="n"/>
      <c r="H15" s="13" t="n"/>
      <c r="I15" s="13" t="n"/>
      <c r="J15" s="13" t="inlineStr">
        <is>
          <t>No</t>
        </is>
      </c>
      <c r="K15" s="13" t="inlineStr">
        <is>
          <t>No</t>
        </is>
      </c>
      <c r="L15" s="13" t="inlineStr">
        <is>
          <t>N/A</t>
        </is>
      </c>
      <c r="M15" s="13" t="n">
        <v>0</v>
      </c>
      <c r="N15" s="13" t="inlineStr">
        <is>
          <t>RateLimitError: Error code: 429 - {'error': {'message': 'Rate limit reached for model `qwen/qwen3.6-27b` in organization `org_01kqgw48c0fdqb9cnmbe9m2c95` service tier `on_demand` on tokens per day (TPD): Limit 200000, Used 199849, Requested 2079. Please try again in 13m52.896s. Need more tokens? Upgrade to Dev Tier today at https://console.groq.com/settings/billing', 'type': 'tokens', 'code': 'rate_limit_exceeded'}}</t>
        </is>
      </c>
      <c r="O15" s="15" t="inlineStr">
        <is>
          <t>Skipped: upstream call failed (see Error column)</t>
        </is>
      </c>
    </row>
    <row r="16">
      <c r="A16" s="12" t="inlineStr">
        <is>
          <t>P01</t>
        </is>
      </c>
      <c r="B16" s="12" t="inlineStr">
        <is>
          <t>Leadership</t>
        </is>
      </c>
      <c r="C16" s="12" t="inlineStr">
        <is>
          <t>Who is the CEO of Wipro?</t>
        </is>
      </c>
      <c r="D16" s="12" t="inlineStr"/>
      <c r="E16" s="12" t="inlineStr"/>
      <c r="F16" s="13" t="n"/>
      <c r="G16" s="13" t="n"/>
      <c r="H16" s="13" t="n"/>
      <c r="I16" s="13" t="n"/>
      <c r="J16" s="12" t="inlineStr">
        <is>
          <t>No</t>
        </is>
      </c>
      <c r="K16" s="12" t="inlineStr">
        <is>
          <t>No</t>
        </is>
      </c>
      <c r="L16" s="12" t="inlineStr">
        <is>
          <t>N/A</t>
        </is>
      </c>
      <c r="M16" s="12" t="n">
        <v>0</v>
      </c>
      <c r="N16" s="12" t="inlineStr">
        <is>
          <t>RateLimitError: Error code: 429 - {'error': {'message': 'Rate limit reached for model `qwen/qwen3.6-27b` in organization `org_01kqgw48c0fdqb9cnmbe9m2c95` service tier `on_demand` on tokens per day (TPD): Limit 200000, Used 199823, Requested 1243. Please try again in 7m40.511999999s. Need more tokens? Upgrade to Dev Tier today at https://console.groq.com/settings/billing', 'type': 'tokens', 'code': 'rate_limit_exceeded'}}</t>
        </is>
      </c>
      <c r="O16" s="14" t="inlineStr">
        <is>
          <t>Skipped: upstream call failed (see Error column)</t>
        </is>
      </c>
    </row>
    <row r="17">
      <c r="A17" s="13" t="inlineStr">
        <is>
          <t>P02</t>
        </is>
      </c>
      <c r="B17" s="13" t="inlineStr">
        <is>
          <t>Leadership</t>
        </is>
      </c>
      <c r="C17" s="13" t="inlineStr">
        <is>
          <t>Who leads Maruti Suzuki?</t>
        </is>
      </c>
      <c r="D17" s="13" t="inlineStr"/>
      <c r="E17" s="13" t="inlineStr"/>
      <c r="F17" s="13" t="n"/>
      <c r="G17" s="13" t="n"/>
      <c r="H17" s="13" t="n"/>
      <c r="I17" s="13" t="n"/>
      <c r="J17" s="13" t="inlineStr">
        <is>
          <t>No</t>
        </is>
      </c>
      <c r="K17" s="13" t="inlineStr">
        <is>
          <t>No</t>
        </is>
      </c>
      <c r="L17" s="13" t="inlineStr">
        <is>
          <t>N/A</t>
        </is>
      </c>
      <c r="M17" s="13" t="n">
        <v>0</v>
      </c>
      <c r="N17" s="13" t="inlineStr">
        <is>
          <t>RateLimitError: Error code: 429 - {'error': {'message': 'Rate limit reached for model `qwen/qwen3.6-27b` in organization `org_01kqgw48c0fdqb9cnmbe9m2c95` service tier `on_demand` on tokens per day (TPD): Limit 200000, Used 199796, Requested 1213. Please try again in 7m15.888s. Need more tokens? Upgrade to Dev Tier today at https://console.groq.com/settings/billing', 'type': 'tokens', 'code': 'rate_limit_exceeded'}}</t>
        </is>
      </c>
      <c r="O17" s="15" t="inlineStr">
        <is>
          <t>Skipped: upstream call failed (see Error column)</t>
        </is>
      </c>
    </row>
    <row r="18">
      <c r="A18" s="12" t="inlineStr">
        <is>
          <t>SH01</t>
        </is>
      </c>
      <c r="B18" s="12" t="inlineStr">
        <is>
          <t>Shareholding</t>
        </is>
      </c>
      <c r="C18" s="12" t="inlineStr">
        <is>
          <t>What percentage of ONGC is held by institutions?</t>
        </is>
      </c>
      <c r="D18" s="12" t="inlineStr"/>
      <c r="E18" s="12" t="inlineStr"/>
      <c r="F18" s="13" t="n"/>
      <c r="G18" s="13" t="n"/>
      <c r="H18" s="13" t="n"/>
      <c r="I18" s="13" t="n"/>
      <c r="J18" s="12" t="inlineStr">
        <is>
          <t>No</t>
        </is>
      </c>
      <c r="K18" s="12" t="inlineStr">
        <is>
          <t>No</t>
        </is>
      </c>
      <c r="L18" s="12" t="inlineStr">
        <is>
          <t>N/A</t>
        </is>
      </c>
      <c r="M18" s="12" t="n">
        <v>0</v>
      </c>
      <c r="N18" s="12" t="inlineStr">
        <is>
          <t>RateLimitError: Error code: 429 - {'error': {'message': 'Rate limit reached for model `qwen/qwen3.6-27b` in organization `org_01kqgw48c0fdqb9cnmbe9m2c95` service tier `on_demand` on tokens per day (TPD): Limit 200000, Used 199770, Requested 2004. Please try again in 12m46.367999999s. Need more tokens? Upgrade to Dev Tier today at https://console.groq.com/settings/billing', 'type': 'tokens', 'code': 'rate_limit_exceeded'}}</t>
        </is>
      </c>
      <c r="O18" s="14" t="inlineStr">
        <is>
          <t>Skipped: upstream call failed (see Error column)</t>
        </is>
      </c>
    </row>
    <row r="19">
      <c r="A19" s="13" t="inlineStr">
        <is>
          <t>SH02</t>
        </is>
      </c>
      <c r="B19" s="13" t="inlineStr">
        <is>
          <t>Shareholding</t>
        </is>
      </c>
      <c r="C19" s="13" t="inlineStr">
        <is>
          <t>What is the insider holding percentage for Sun Pharmaceutical?</t>
        </is>
      </c>
      <c r="D19" s="13" t="inlineStr"/>
      <c r="E19" s="13" t="inlineStr"/>
      <c r="F19" s="13" t="n"/>
      <c r="G19" s="13" t="n"/>
      <c r="H19" s="13" t="n"/>
      <c r="I19" s="13" t="n"/>
      <c r="J19" s="13" t="inlineStr">
        <is>
          <t>No</t>
        </is>
      </c>
      <c r="K19" s="13" t="inlineStr">
        <is>
          <t>No</t>
        </is>
      </c>
      <c r="L19" s="13" t="inlineStr">
        <is>
          <t>N/A</t>
        </is>
      </c>
      <c r="M19" s="13" t="n">
        <v>0</v>
      </c>
      <c r="N19" s="13" t="inlineStr">
        <is>
          <t>RateLimitError: Error code: 429 - {'error': {'message': 'Rate limit reached for model `qwen/qwen3.6-27b` in organization `org_01kqgw48c0fdqb9cnmbe9m2c95` service tier `on_demand` on tokens per day (TPD): Limit 200000, Used 199731, Requested 834. Please try again in 4m4.079999999s. Need more tokens? Upgrade to Dev Tier today at https://console.groq.com/settings/billing', 'type': 'tokens', 'code': 'rate_limit_exceeded'}}</t>
        </is>
      </c>
      <c r="O19" s="15" t="inlineStr">
        <is>
          <t>Skipped: upstream call failed (see Error column)</t>
        </is>
      </c>
    </row>
    <row r="20">
      <c r="A20" s="12" t="inlineStr">
        <is>
          <t>R01</t>
        </is>
      </c>
      <c r="B20" s="12" t="inlineStr">
        <is>
          <t>Robustness</t>
        </is>
      </c>
      <c r="C20" s="12" t="inlineStr">
        <is>
          <t>What is the current gold price?</t>
        </is>
      </c>
      <c r="D20" s="12" t="inlineStr"/>
      <c r="E20" s="12" t="inlineStr"/>
      <c r="F20" s="13" t="n"/>
      <c r="G20" s="13" t="n"/>
      <c r="H20" s="13" t="n"/>
      <c r="I20" s="13" t="n"/>
      <c r="J20" s="12" t="inlineStr">
        <is>
          <t>N/A</t>
        </is>
      </c>
      <c r="K20" s="12" t="inlineStr">
        <is>
          <t>N/A</t>
        </is>
      </c>
      <c r="L20" s="12" t="inlineStr">
        <is>
          <t>N/A</t>
        </is>
      </c>
      <c r="M20" s="12" t="n">
        <v>0</v>
      </c>
      <c r="N20" s="12" t="inlineStr">
        <is>
          <t>RateLimitError: Error code: 429 - {'error': {'message': 'Rate limit reached for model `qwen/qwen3.6-27b` in organization `org_01kqgw48c0fdqb9cnmbe9m2c95` service tier `on_demand` on tokens per day (TPD): Limit 200000, Used 199700, Requested 1388. Please try again in 7m50.016s. Need more tokens? Upgrade to Dev Tier today at https://console.groq.com/settings/billing', 'type': 'tokens', 'code': 'rate_limit_exceeded'}}</t>
        </is>
      </c>
      <c r="O20" s="14" t="inlineStr">
        <is>
          <t>Skipped: upstream call failed (see Error column)</t>
        </is>
      </c>
    </row>
    <row r="21">
      <c r="A21" s="13" t="inlineStr">
        <is>
          <t>R02</t>
        </is>
      </c>
      <c r="B21" s="13" t="inlineStr">
        <is>
          <t>Robustness</t>
        </is>
      </c>
      <c r="C21" s="13" t="inlineStr">
        <is>
          <t>Summarise the last 5 years of NIFTY performance.</t>
        </is>
      </c>
      <c r="D21" s="13" t="inlineStr">
        <is>
          <t>I do not have that data in my records.</t>
        </is>
      </c>
      <c r="E21" s="13" t="inlineStr">
        <is>
          <t>### 1975–1994
---
### 1995–2004
---
## History
---
Community 5 Summary: Based on the provided community subgraph, here is a concise summary of its key themes, relationships, and significance:
**Key Themes:**
1. **Utilities Sector Dominance**: The community revolves around the Utilities sector, with NTPC and POWERGRID being prominent companies.
2. **Insider and Institutional Holdings**: Both insider and institutional holdings are significant in this community, indicating a high level of interes...</t>
        </is>
      </c>
      <c r="F21" s="16" t="n">
        <v>2</v>
      </c>
      <c r="G21" s="17" t="n">
        <v>3</v>
      </c>
      <c r="H21" s="18" t="n">
        <v>4</v>
      </c>
      <c r="I21" s="17" t="n">
        <v>3</v>
      </c>
      <c r="J21" s="13" t="inlineStr">
        <is>
          <t>N/A</t>
        </is>
      </c>
      <c r="K21" s="13" t="inlineStr">
        <is>
          <t>N/A</t>
        </is>
      </c>
      <c r="L21" s="13" t="inlineStr">
        <is>
          <t>N/A</t>
        </is>
      </c>
      <c r="M21" s="13" t="n">
        <v>64.23699999999999</v>
      </c>
      <c r="N21" s="13" t="inlineStr"/>
      <c r="O21" s="15" t="inlineStr">
        <is>
          <t>Avoids data but provides direct answer</t>
        </is>
      </c>
    </row>
    <row r="22">
      <c r="A22" s="12" t="inlineStr">
        <is>
          <t>MT01</t>
        </is>
      </c>
      <c r="B22" s="12" t="inlineStr">
        <is>
          <t>Multi-turn Sim</t>
        </is>
      </c>
      <c r="C22" s="12" t="inlineStr">
        <is>
          <t>Tell me about TCS revenue, then compare it with Infosys revenue.</t>
        </is>
      </c>
      <c r="D22" s="12" t="inlineStr"/>
      <c r="E22" s="12" t="inlineStr"/>
      <c r="F22" s="13" t="n"/>
      <c r="G22" s="13" t="n"/>
      <c r="H22" s="13" t="n"/>
      <c r="I22" s="13" t="n"/>
      <c r="J22" s="12" t="inlineStr">
        <is>
          <t>No</t>
        </is>
      </c>
      <c r="K22" s="12" t="inlineStr">
        <is>
          <t>No</t>
        </is>
      </c>
      <c r="L22" s="12" t="inlineStr">
        <is>
          <t>No</t>
        </is>
      </c>
      <c r="M22" s="12" t="n">
        <v>0</v>
      </c>
      <c r="N22" s="12" t="inlineStr">
        <is>
          <t>RateLimitError: Error code: 429 - {'error': {'message': 'Rate limit reached for model `qwen/qwen3.6-27b` in organization `org_01kqgw48c0fdqb9cnmbe9m2c95` service tier `on_demand` on tokens per day (TPD): Limit 200000, Used 199969, Requested 2157. Please try again in 15m18.432s. Need more tokens? Upgrade to Dev Tier today at https://console.groq.com/settings/billing', 'type': 'tokens', 'code': 'rate_limit_exceeded'}}</t>
        </is>
      </c>
      <c r="O22" s="14" t="inlineStr">
        <is>
          <t>Skipped: upstream call failed (see Error column)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38" customWidth="1" min="3" max="3"/>
    <col width="45" customWidth="1" min="4" max="4"/>
    <col width="45" customWidth="1" min="5" max="5"/>
    <col width="12" customWidth="1" min="6" max="6"/>
    <col width="12" customWidth="1" min="7" max="7"/>
    <col width="12" customWidth="1" min="8" max="8"/>
    <col width="10" customWidth="1" min="9" max="9"/>
    <col width="11" customWidth="1" min="10" max="10"/>
    <col width="13" customWidth="1" min="11" max="11"/>
    <col width="11" customWidth="1" min="12" max="12"/>
    <col width="10" customWidth="1" min="13" max="13"/>
    <col width="22" customWidth="1" min="14" max="14"/>
    <col width="40" customWidth="1" min="15" max="15"/>
  </cols>
  <sheetData>
    <row r="1" ht="36" customHeight="1">
      <c r="A1" s="11" t="inlineStr">
        <is>
          <t>ID</t>
        </is>
      </c>
      <c r="B1" s="11" t="inlineStr">
        <is>
          <t>Category</t>
        </is>
      </c>
      <c r="C1" s="11" t="inlineStr">
        <is>
          <t>Question</t>
        </is>
      </c>
      <c r="D1" s="11" t="inlineStr">
        <is>
          <t>Answer</t>
        </is>
      </c>
      <c r="E1" s="11" t="inlineStr">
        <is>
          <t>Retrieved Context</t>
        </is>
      </c>
      <c r="F1" s="11" t="inlineStr">
        <is>
          <t>Faithfulness
(1-5)</t>
        </is>
      </c>
      <c r="G1" s="11" t="inlineStr">
        <is>
          <t>Answer Relevance
(1-5)</t>
        </is>
      </c>
      <c r="H1" s="11" t="inlineStr">
        <is>
          <t>Completeness
(1-5)</t>
        </is>
      </c>
      <c r="I1" s="11" t="inlineStr">
        <is>
          <t>Avg Score</t>
        </is>
      </c>
      <c r="J1" s="11" t="inlineStr">
        <is>
          <t>Context Hit</t>
        </is>
      </c>
      <c r="K1" s="11" t="inlineStr">
        <is>
          <t>Answer Mentions
Entity</t>
        </is>
      </c>
      <c r="L1" s="11" t="inlineStr">
        <is>
          <t>All Entities
Hit</t>
        </is>
      </c>
      <c r="M1" s="11" t="inlineStr">
        <is>
          <t>Latency (s)</t>
        </is>
      </c>
      <c r="N1" s="11" t="inlineStr">
        <is>
          <t>Error</t>
        </is>
      </c>
      <c r="O1" s="11" t="inlineStr">
        <is>
          <t>Judge Reasoning</t>
        </is>
      </c>
    </row>
    <row r="2">
      <c r="A2" s="12" t="inlineStr">
        <is>
          <t>F01</t>
        </is>
      </c>
      <c r="B2" s="12" t="inlineStr">
        <is>
          <t>Single-Company Factual</t>
        </is>
      </c>
      <c r="C2" s="12" t="inlineStr">
        <is>
          <t>What is the current revenue of TCS?</t>
        </is>
      </c>
      <c r="D2" s="12" t="inlineStr">
        <is>
          <t>I do not have that data in my records.</t>
        </is>
      </c>
      <c r="E2" s="12">
        <f>== TCS | Company | Tata Consultancy Services Limited ===
Sector: Technology
Industry: Information Technology Services
Insiders Holding: 71.8%
Institutions Holding: 17.0%
EBITDA: ₹200.33 Billion (2026-03-31) | ₹193.87 Billion (2025-12-31) | ₹184.13 Billion (2025-06-30) | ₹180.08 Billion (2025-03-31) | ₹182.77 Billion (2024-12-31) | ₹200.33 Billion (2026-03-31) | ₹159.96 Billion (2025-12-31) | ₹185.35 Billion (2025-06-30) | ₹180.08 Billion (2025-03-31) | ₹182.77 Billion (2024-12-31)
Gross Profit:...</f>
        <v/>
      </c>
      <c r="F2" s="16" t="n">
        <v>2</v>
      </c>
      <c r="G2" s="17" t="n">
        <v>3</v>
      </c>
      <c r="H2" s="18" t="n">
        <v>4</v>
      </c>
      <c r="I2" s="17" t="n">
        <v>3</v>
      </c>
      <c r="J2" s="12" t="inlineStr">
        <is>
          <t>Yes</t>
        </is>
      </c>
      <c r="K2" s="12" t="inlineStr">
        <is>
          <t>No</t>
        </is>
      </c>
      <c r="L2" s="12" t="inlineStr">
        <is>
          <t>N/A</t>
        </is>
      </c>
      <c r="M2" s="12" t="n">
        <v>2.137</v>
      </c>
      <c r="N2" s="12" t="inlineStr"/>
      <c r="O2" s="14" t="inlineStr">
        <is>
          <t>Avoids providing actual data, relies on lack of records</t>
        </is>
      </c>
    </row>
    <row r="3">
      <c r="A3" s="13" t="inlineStr">
        <is>
          <t>F02</t>
        </is>
      </c>
      <c r="B3" s="13" t="inlineStr">
        <is>
          <t>Single-Company Factual</t>
        </is>
      </c>
      <c r="C3" s="13" t="inlineStr">
        <is>
          <t>Who leads Reliance Industries?</t>
        </is>
      </c>
      <c r="D3" s="13" t="inlineStr">
        <is>
          <t>Reliance Industries is led by **Mukesh Ambani**, who serves as the company’s Chairman and Managing Director.</t>
        </is>
      </c>
      <c r="E3" s="13">
        <f>== RELIANCE | Company | Reliance Industries Limited ===
Sector: Energy
Industry: Oil &amp; Gas Refining &amp; Marketing
Insiders Holding: 51.0%
Institutions Holding: 28.0%
EBITDA: ₹337.80 Billion (2026-03-31) | ₹363.10 Billion (2025-12-31) | ₹352.58 Billion (2025-06-30) | ₹352.58 Billion (2025-03-31) | ₹348.22 Billion (2024-12-31) | ₹337.80 Billion (2026-03-31) | ₹363.10 Billion (2025-12-31) | ₹441.82 Billion (2025-06-30) | ₹352.58 Billion (2025-03-31) | ₹348.22 Billion (2024-12-31)
Gross Profit: ₹782....</f>
        <v/>
      </c>
      <c r="F3" s="18" t="n">
        <v>5</v>
      </c>
      <c r="G3" s="18" t="n">
        <v>5</v>
      </c>
      <c r="H3" s="18" t="n">
        <v>4</v>
      </c>
      <c r="I3" s="18" t="n">
        <v>4.67</v>
      </c>
      <c r="J3" s="13" t="inlineStr">
        <is>
          <t>Yes</t>
        </is>
      </c>
      <c r="K3" s="13" t="inlineStr">
        <is>
          <t>Yes</t>
        </is>
      </c>
      <c r="L3" s="13" t="inlineStr">
        <is>
          <t>N/A</t>
        </is>
      </c>
      <c r="M3" s="13" t="n">
        <v>1.635</v>
      </c>
      <c r="N3" s="13" t="inlineStr"/>
      <c r="O3" s="15" t="inlineStr">
        <is>
          <t>Answer is accurate and directly relevant to the question</t>
        </is>
      </c>
    </row>
    <row r="4">
      <c r="A4" s="12" t="inlineStr">
        <is>
          <t>F03</t>
        </is>
      </c>
      <c r="B4" s="12" t="inlineStr">
        <is>
          <t>Single-Company Factual</t>
        </is>
      </c>
      <c r="C4" s="12" t="inlineStr">
        <is>
          <t>What sector does Infosys operate in?</t>
        </is>
      </c>
      <c r="D4" s="12" t="inlineStr">
        <is>
          <t>Infosys operates in the **Technology** sector.</t>
        </is>
      </c>
      <c r="E4" s="12">
        <f>== INFY | Company | Infosys Limited ===
Sector: Technology
Industry: Information Technology Services
Insiders Holding: 16.1%
Institutions Holding: 48.7%
EBITDA: ₹1.33 Billion (2026-03-31) | ₹1.15 Billion (2025-12-31) | ₹1.29 Billion (2025-09-30) | ₹1.03 Billion (2025-06-30) | ₹1.28 Billion (2025-03-31) | ₹1.33 Billion (2026-03-31) | ₹1.18 Billion (2025-12-31) | ₹1.31 Billion (2025-09-30) | ₹1.03 Billion (2025-06-30) | ₹1.28 Billion (2025-03-31)
Gross Profit: ₹1.55 Billion (2026-03-31) | ₹1.44 B...</f>
        <v/>
      </c>
      <c r="F4" s="18" t="n">
        <v>4</v>
      </c>
      <c r="G4" s="18" t="n">
        <v>5</v>
      </c>
      <c r="H4" s="17" t="n">
        <v>3</v>
      </c>
      <c r="I4" s="18" t="n">
        <v>4</v>
      </c>
      <c r="J4" s="12" t="inlineStr">
        <is>
          <t>Yes</t>
        </is>
      </c>
      <c r="K4" s="12" t="inlineStr">
        <is>
          <t>No</t>
        </is>
      </c>
      <c r="L4" s="12" t="inlineStr">
        <is>
          <t>N/A</t>
        </is>
      </c>
      <c r="M4" s="12" t="n">
        <v>1.62</v>
      </c>
      <c r="N4" s="12" t="inlineStr"/>
      <c r="O4" s="14" t="inlineStr">
        <is>
          <t>Answer is based on general knowledge of Infosys</t>
        </is>
      </c>
    </row>
    <row r="5">
      <c r="A5" s="13" t="inlineStr">
        <is>
          <t>F04</t>
        </is>
      </c>
      <c r="B5" s="13" t="inlineStr">
        <is>
          <t>Single-Company Factual</t>
        </is>
      </c>
      <c r="C5" s="13" t="inlineStr">
        <is>
          <t>What is HDFC Bank's net profit for the latest reported quarter?</t>
        </is>
      </c>
      <c r="D5" s="13" t="inlineStr">
        <is>
          <t>HDFC Bank’s net profit for the most recent quarter (ending 30 June 2025) was **₹162.58 Bn**.  
*Source: Financial Graph*</t>
        </is>
      </c>
      <c r="E5" s="13">
        <f>== HDFCBANK | Company | HDFC Bank Limited ===
Sector: Financial Services
Industry: Banks - Regional
Insiders Holding: 0.2%
Institutions Holding: 57.3%
Net Debt: ₹3.85 Trillion (2025-06-30) | ₹3.95 Trillion (2025-03-31) | ₹4.22 Trillion (2024-12-31) | ₹5.44 Trillion (2024-09-30)
Net Income: ₹162.58 Billion (2025-06-30) | ₹153.93 Billion (2025-03-31) | ₹176.57 Billion (2024-12-31) | ₹173.81 Billion (2024-09-30) | ₹162.58 Billion (2025-06-30) | ₹153.93 Billion (2025-03-31) | ₹176.57 Billion (2024-...</f>
        <v/>
      </c>
      <c r="F5" s="18" t="n">
        <v>4</v>
      </c>
      <c r="G5" s="18" t="n">
        <v>5</v>
      </c>
      <c r="H5" s="17" t="n">
        <v>3</v>
      </c>
      <c r="I5" s="18" t="n">
        <v>4</v>
      </c>
      <c r="J5" s="13" t="inlineStr">
        <is>
          <t>Yes</t>
        </is>
      </c>
      <c r="K5" s="13" t="inlineStr">
        <is>
          <t>No</t>
        </is>
      </c>
      <c r="L5" s="13" t="inlineStr">
        <is>
          <t>N/A</t>
        </is>
      </c>
      <c r="M5" s="13" t="n">
        <v>2.188</v>
      </c>
      <c r="N5" s="13" t="inlineStr"/>
      <c r="O5" s="15" t="inlineStr">
        <is>
          <t>Grounded in facts, but lacks date range</t>
        </is>
      </c>
    </row>
    <row r="6">
      <c r="A6" s="12" t="inlineStr">
        <is>
          <t>F05</t>
        </is>
      </c>
      <c r="B6" s="12" t="inlineStr">
        <is>
          <t>Single-Company Factual</t>
        </is>
      </c>
      <c r="C6" s="12" t="inlineStr">
        <is>
          <t>What is the debt-to-equity ratio of Tata Motors?</t>
        </is>
      </c>
      <c r="D6" s="12" t="inlineStr">
        <is>
          <t>I do not have that data in my records.</t>
        </is>
      </c>
      <c r="E6" s="12">
        <f>== TATACONSUM | Company | Tata Consumer Products Limited ===
Sector: Consumer Defensive
Industry: Packaged Foods
Insiders Holding: 34.4%
Institutions Holding: 33.6%
EBITDA: ₹7.54 Billion (2025-12-31) | ₹6.48 Billion (2025-06-30) | ₹6.53 Billion (2025-03-31) | ₹6.16 Billion (2024-12-31) | ₹6.72 Billion (2024-09-30) | ₹7.31 Billion (2025-12-31) | ₹6.48 Billion (2025-06-30) | ₹7.23 Billion (2025-03-31) | ₹6.10 Billion (2024-12-31) | ₹6.45 Billion (2024-09-30)
Gross Profit: ₹21.87 Billion (2025-12-...</f>
        <v/>
      </c>
      <c r="F6" s="16" t="n">
        <v>2</v>
      </c>
      <c r="G6" s="17" t="n">
        <v>3</v>
      </c>
      <c r="H6" s="18" t="n">
        <v>4</v>
      </c>
      <c r="I6" s="17" t="n">
        <v>3</v>
      </c>
      <c r="J6" s="12" t="inlineStr">
        <is>
          <t>No</t>
        </is>
      </c>
      <c r="K6" s="12" t="inlineStr">
        <is>
          <t>No</t>
        </is>
      </c>
      <c r="L6" s="12" t="inlineStr">
        <is>
          <t>N/A</t>
        </is>
      </c>
      <c r="M6" s="12" t="n">
        <v>1.752</v>
      </c>
      <c r="N6" s="12" t="inlineStr"/>
      <c r="O6" s="14" t="inlineStr">
        <is>
          <t>Answer avoids hallucinations but lacks factual data</t>
        </is>
      </c>
    </row>
    <row r="7">
      <c r="A7" s="13" t="inlineStr">
        <is>
          <t>C01</t>
        </is>
      </c>
      <c r="B7" s="13" t="inlineStr">
        <is>
          <t>Comparison</t>
        </is>
      </c>
      <c r="C7" s="13" t="inlineStr">
        <is>
          <t>Compare the revenue of TCS and Infosys.</t>
        </is>
      </c>
      <c r="D7" s="13" t="inlineStr">
        <is>
          <t>I do not have that data in my records.</t>
        </is>
      </c>
      <c r="E7" s="13">
        <f>== INFY | Company | Infosys Limited ===
Sector: Technology
Industry: Information Technology Services
Insiders Holding: 16.1%
Institutions Holding: 48.7%
EBITDA: ₹1.33 Billion (2026-03-31) | ₹1.15 Billion (2025-12-31) | ₹1.29 Billion (2025-09-30) | ₹1.03 Billion (2025-06-30) | ₹1.28 Billion (2025-03-31) | ₹1.33 Billion (2026-03-31) | ₹1.18 Billion (2025-12-31) | ₹1.31 Billion (2025-09-30) | ₹1.03 Billion (2025-06-30) | ₹1.28 Billion (2025-03-31)
Gross Profit: ₹1.55 Billion (2026-03-31) | ₹1.44 B...</f>
        <v/>
      </c>
      <c r="F7" s="16" t="n">
        <v>2</v>
      </c>
      <c r="G7" s="17" t="n">
        <v>3</v>
      </c>
      <c r="H7" s="18" t="n">
        <v>4</v>
      </c>
      <c r="I7" s="17" t="n">
        <v>3</v>
      </c>
      <c r="J7" s="13" t="inlineStr">
        <is>
          <t>Yes</t>
        </is>
      </c>
      <c r="K7" s="13" t="inlineStr">
        <is>
          <t>No</t>
        </is>
      </c>
      <c r="L7" s="13" t="inlineStr">
        <is>
          <t>No</t>
        </is>
      </c>
      <c r="M7" s="13" t="n">
        <v>1.274</v>
      </c>
      <c r="N7" s="13" t="inlineStr"/>
      <c r="O7" s="15" t="inlineStr">
        <is>
          <t>Avoids providing actual data, relies on lack of records</t>
        </is>
      </c>
    </row>
    <row r="8">
      <c r="A8" s="12" t="inlineStr">
        <is>
          <t>C02</t>
        </is>
      </c>
      <c r="B8" s="12" t="inlineStr">
        <is>
          <t>Comparison</t>
        </is>
      </c>
      <c r="C8" s="12" t="inlineStr">
        <is>
          <t>Which has a higher market cap, Wipro or HCL Technologies?</t>
        </is>
      </c>
      <c r="D8" s="12" t="inlineStr">
        <is>
          <t>I do not have that data in my records.</t>
        </is>
      </c>
      <c r="E8" s="12">
        <f>== HCLTECH | Company | HCL Technologies Limited ===
Sector: Technology
Industry: Information Technology Services
Insiders Holding: 62.7%
Institutions Holding: 27.6%
EBITDA: ₹70.34 Billion (2026-03-31) | ₹77.97 Billion (2025-12-31) | ₹64.91 Billion (2025-06-30) | ₹69.31 Billion (2025-03-31) | ₹73.37 Billion (2024-12-31) | ₹70.34 Billion (2026-03-31) | ₹68.41 Billion (2025-12-31) | ₹64.91 Billion (2025-06-30) | ₹69.31 Billion (2025-03-31) | ₹73.37 Billion (2024-12-31)
Gross Profit: ₹138.95 Billio...</f>
        <v/>
      </c>
      <c r="F8" s="16" t="n">
        <v>2</v>
      </c>
      <c r="G8" s="17" t="n">
        <v>3</v>
      </c>
      <c r="H8" s="18" t="n">
        <v>4</v>
      </c>
      <c r="I8" s="17" t="n">
        <v>3</v>
      </c>
      <c r="J8" s="12" t="inlineStr">
        <is>
          <t>Yes</t>
        </is>
      </c>
      <c r="K8" s="12" t="inlineStr">
        <is>
          <t>No</t>
        </is>
      </c>
      <c r="L8" s="12" t="inlineStr">
        <is>
          <t>No</t>
        </is>
      </c>
      <c r="M8" s="12" t="n">
        <v>1.662</v>
      </c>
      <c r="N8" s="12" t="inlineStr"/>
      <c r="O8" s="14" t="inlineStr">
        <is>
          <t>Answer avoids direct data but cites lack of records</t>
        </is>
      </c>
    </row>
    <row r="9">
      <c r="A9" s="13" t="inlineStr">
        <is>
          <t>C03</t>
        </is>
      </c>
      <c r="B9" s="13" t="inlineStr">
        <is>
          <t>Comparison</t>
        </is>
      </c>
      <c r="C9" s="13" t="inlineStr">
        <is>
          <t>How does HDFC Bank's PAT compare to ICICI Bank?</t>
        </is>
      </c>
      <c r="D9" s="13" t="inlineStr">
        <is>
          <t>**HDFC Bank vs. ICICI Bank – PAT (Net Income)**  
| Bank | Latest PAT (Net Income) | Date |
|------|------------------------|------|
| HDFC Bank | ₹162.58 Billion | 2025‑06‑30 |
| ICICI Bank | ₹147.55 Billion | 2026‑03‑31 |
**Comparison**  
HDFC Bank’s PAT of ₹162.58 Billion is higher than ICICI Bank’s PAT of ₹147.55 Billion.  
*Source: Financial Graph*</t>
        </is>
      </c>
      <c r="E9" s="13">
        <f>== HDFCBANK | Company | HDFC Bank Limited ===
Sector: Financial Services
Industry: Banks - Regional
Insiders Holding: 0.2%
Institutions Holding: 57.3%
Net Debt: ₹3.85 Trillion (2025-06-30) | ₹3.95 Trillion (2025-03-31) | ₹4.22 Trillion (2024-12-31) | ₹5.44 Trillion (2024-09-30)
Net Income: ₹162.58 Billion (2025-06-30) | ₹153.93 Billion (2025-03-31) | ₹176.57 Billion (2024-12-31) | ₹173.81 Billion (2024-09-30) | ₹162.58 Billion (2025-06-30) | ₹153.93 Billion (2025-03-31) | ₹176.57 Billion (2024-...</f>
        <v/>
      </c>
      <c r="F9" s="18" t="n">
        <v>4</v>
      </c>
      <c r="G9" s="17" t="n">
        <v>3</v>
      </c>
      <c r="H9" s="16" t="n">
        <v>2</v>
      </c>
      <c r="I9" s="17" t="n">
        <v>3</v>
      </c>
      <c r="J9" s="13" t="inlineStr">
        <is>
          <t>Yes</t>
        </is>
      </c>
      <c r="K9" s="13" t="inlineStr">
        <is>
          <t>No</t>
        </is>
      </c>
      <c r="L9" s="13" t="inlineStr">
        <is>
          <t>No</t>
        </is>
      </c>
      <c r="M9" s="13" t="n">
        <v>2.032</v>
      </c>
      <c r="N9" s="13" t="inlineStr"/>
      <c r="O9" s="15" t="inlineStr">
        <is>
          <t>Provides relevant data but lacks ground truth</t>
        </is>
      </c>
    </row>
    <row r="10">
      <c r="A10" s="12" t="inlineStr">
        <is>
          <t>S01</t>
        </is>
      </c>
      <c r="B10" s="12" t="inlineStr">
        <is>
          <t>Sector</t>
        </is>
      </c>
      <c r="C10" s="12" t="inlineStr">
        <is>
          <t>Which NIFTY 50 companies belong to the IT sector?</t>
        </is>
      </c>
      <c r="D10" s="12" t="inlineStr">
        <is>
          <t>I do not have that data in my records.</t>
        </is>
      </c>
      <c r="E10" s="12">
        <f>== BEL | Company | Bharat Electronics Limited ===
Sector: Industrials
Industry: Aerospace &amp; Defense
Insiders Holding: 53.2%
Institutions Holding: 25.6%
EBITDA: ₹22.66 Billion (2025-12-31) | ₹14.02 Billion (2025-06-30) | ₹31.52 Billion (2025-03-31) | ₹18.56 Billion (2024-12-31) | ₹15.58 Billion (2024-09-30) | ₹22.66 Billion (2025-12-31) | ₹14.02 Billion (2025-06-30) | ₹30.10 Billion (2025-03-31) | ₹18.56 Billion (2024-12-31) | ₹15.58 Billion (2024-09-30)
Gross Profit: ₹33.29 Billion (2025-12-31)...</f>
        <v/>
      </c>
      <c r="F10" s="16" t="n">
        <v>2</v>
      </c>
      <c r="G10" s="17" t="n">
        <v>3</v>
      </c>
      <c r="H10" s="18" t="n">
        <v>4</v>
      </c>
      <c r="I10" s="17" t="n">
        <v>3</v>
      </c>
      <c r="J10" s="12" t="inlineStr">
        <is>
          <t>Yes</t>
        </is>
      </c>
      <c r="K10" s="12" t="inlineStr">
        <is>
          <t>No</t>
        </is>
      </c>
      <c r="L10" s="12" t="inlineStr">
        <is>
          <t>N/A</t>
        </is>
      </c>
      <c r="M10" s="12" t="n">
        <v>2.859</v>
      </c>
      <c r="N10" s="12" t="inlineStr"/>
      <c r="O10" s="14" t="inlineStr">
        <is>
          <t>Answer avoids hallucinations but lacks data</t>
        </is>
      </c>
    </row>
    <row r="11">
      <c r="A11" s="13" t="inlineStr">
        <is>
          <t>S02</t>
        </is>
      </c>
      <c r="B11" s="13" t="inlineStr">
        <is>
          <t>Sector</t>
        </is>
      </c>
      <c r="C11" s="13" t="inlineStr">
        <is>
          <t>List all banking companies in the NIFTY 50.</t>
        </is>
      </c>
      <c r="D11" s="13" t="inlineStr">
        <is>
          <t>I do not have that data in my records.</t>
        </is>
      </c>
      <c r="E11" s="13">
        <f>== HDFCBANK | Company | HDFC Bank Limited ===
Sector: Financial Services
Industry: Banks - Regional
Insiders Holding: 0.2%
Institutions Holding: 57.3%
Net Debt: ₹3.85 Trillion (2025-06-30) | ₹3.95 Trillion (2025-03-31) | ₹4.22 Trillion (2024-12-31) | ₹5.44 Trillion (2024-09-30)
Net Income: ₹162.58 Billion (2025-06-30) | ₹153.93 Billion (2025-03-31) | ₹176.57 Billion (2024-12-31) | ₹173.81 Billion (2024-09-30) | ₹162.58 Billion (2025-06-30) | ₹153.93 Billion (2025-03-31) | ₹176.57 Billion (2024-...</f>
        <v/>
      </c>
      <c r="F11" s="16" t="n">
        <v>2</v>
      </c>
      <c r="G11" s="17" t="n">
        <v>3</v>
      </c>
      <c r="H11" s="18" t="n">
        <v>4</v>
      </c>
      <c r="I11" s="17" t="n">
        <v>3</v>
      </c>
      <c r="J11" s="13" t="inlineStr">
        <is>
          <t>Yes</t>
        </is>
      </c>
      <c r="K11" s="13" t="inlineStr">
        <is>
          <t>No</t>
        </is>
      </c>
      <c r="L11" s="13" t="inlineStr">
        <is>
          <t>No</t>
        </is>
      </c>
      <c r="M11" s="13" t="n">
        <v>3.955</v>
      </c>
      <c r="N11" s="13" t="inlineStr"/>
      <c r="O11" s="15" t="inlineStr">
        <is>
          <t>Answer lacks factual data but attempts to address question</t>
        </is>
      </c>
    </row>
    <row r="12">
      <c r="A12" s="12" t="inlineStr">
        <is>
          <t>S03</t>
        </is>
      </c>
      <c r="B12" s="12" t="inlineStr">
        <is>
          <t>Sector</t>
        </is>
      </c>
      <c r="C12" s="12" t="inlineStr">
        <is>
          <t>Which energy sector stocks are part of NIFTY 50?</t>
        </is>
      </c>
      <c r="D12" s="12" t="inlineStr">
        <is>
          <t>The energy‑sector stocks that are constituents of the NIFTY 50 are:
- **ADANIENT** (Adani Enterprises Limited)  
- **COALINDIA** (Coal India Limited)  
- **ONGC** (Oil and Natural Gas Corporation Limited)  
- **RELIANCE** (Reliance Industries Limited)  
These four companies are listed on both the BSE and NSE and form part of the NIFTY 50 index.</t>
        </is>
      </c>
      <c r="E12" s="12">
        <f>== Energy | Sector | Energy ===
Companies in Energy [Sector]:
  - ADANIENT (Adani Enterprises Limited)
  - COALINDIA (Coal India Limited)
  - ONGC (Oil and Natural Gas Corporation Limited)
  - RELIANCE (Reliance Industries Limited)
---
## Listing and shareholding
The equity shares of the company are listed on the Bombay Stock Exchange (BSE) and the National Stock Exchange of India (NSE). The company's shares constitute a part of the BSE SENSEX of the BSE as well as the NIFTY 50 index of the NSE...</f>
        <v/>
      </c>
      <c r="F12" s="18" t="n">
        <v>4</v>
      </c>
      <c r="G12" s="18" t="n">
        <v>5</v>
      </c>
      <c r="H12" s="17" t="n">
        <v>3</v>
      </c>
      <c r="I12" s="18" t="n">
        <v>4</v>
      </c>
      <c r="J12" s="12" t="inlineStr">
        <is>
          <t>Yes</t>
        </is>
      </c>
      <c r="K12" s="12" t="inlineStr">
        <is>
          <t>Yes</t>
        </is>
      </c>
      <c r="L12" s="12" t="inlineStr">
        <is>
          <t>Yes</t>
        </is>
      </c>
      <c r="M12" s="12" t="n">
        <v>3.427</v>
      </c>
      <c r="N12" s="12" t="inlineStr"/>
      <c r="O12" s="14" t="inlineStr">
        <is>
          <t>Answer is based on publicly available data and directly addresses the question</t>
        </is>
      </c>
    </row>
    <row r="13">
      <c r="A13" s="13" t="inlineStr">
        <is>
          <t>M01</t>
        </is>
      </c>
      <c r="B13" s="13" t="inlineStr">
        <is>
          <t>Financial Metric</t>
        </is>
      </c>
      <c r="C13" s="13" t="inlineStr">
        <is>
          <t>What is the P/E ratio of Bajaj Finance?</t>
        </is>
      </c>
      <c r="D13" s="13" t="inlineStr">
        <is>
          <t>I do not have that data in my records.</t>
        </is>
      </c>
      <c r="E13" s="13">
        <f>== BAJAJ-AUTO | Company | Bajaj Auto Limited ===
Sector: Consumer Cyclical
Industry: Auto Manufacturers
Insiders Holding: 60.0%
Institutions Holding: 15.8%
EBITDA: ₹41.66 Billion (2025-12-31) | ₹34.04 Billion (2025-09-30) | ₹33.02 Billion (2025-06-30) | ₹22.24 Billion (2025-03-31) | ₹30.98 Billion (2024-12-31) | ₹40.89 Billion (2025-12-31) | ₹34.04 Billion (2025-09-30) | ₹33.02 Billion (2025-06-30) | ₹27.50 Billion (2025-03-31) | ₹30.98 Billion (2024-12-31)
Gross Profit: ₹46.73 Billion (2025-12...</f>
        <v/>
      </c>
      <c r="F13" s="16" t="n">
        <v>2</v>
      </c>
      <c r="G13" s="17" t="n">
        <v>3</v>
      </c>
      <c r="H13" s="18" t="n">
        <v>4</v>
      </c>
      <c r="I13" s="17" t="n">
        <v>3</v>
      </c>
      <c r="J13" s="13" t="inlineStr">
        <is>
          <t>Yes</t>
        </is>
      </c>
      <c r="K13" s="13" t="inlineStr">
        <is>
          <t>No</t>
        </is>
      </c>
      <c r="L13" s="13" t="inlineStr">
        <is>
          <t>N/A</t>
        </is>
      </c>
      <c r="M13" s="13" t="n">
        <v>2.443</v>
      </c>
      <c r="N13" s="13" t="inlineStr"/>
      <c r="O13" s="15" t="inlineStr">
        <is>
          <t>Answer avoids hallucinations but lacks factual data</t>
        </is>
      </c>
    </row>
    <row r="14">
      <c r="A14" s="12" t="inlineStr">
        <is>
          <t>M02</t>
        </is>
      </c>
      <c r="B14" s="12" t="inlineStr">
        <is>
          <t>Financial Metric</t>
        </is>
      </c>
      <c r="C14" s="12" t="inlineStr">
        <is>
          <t>What is the EPS of Asian Paints?</t>
        </is>
      </c>
      <c r="D14" s="12" t="inlineStr">
        <is>
          <t>I do not have that data in my records.</t>
        </is>
      </c>
      <c r="E14" s="12">
        <f>== ASIANPAINT | Company | Asian Paints Limited ===
Sector: Basic Materials
Industry: Specialty Chemicals
Insiders Holding: 52.9%
Institutions Holding: 27.0%
EBITDA: ₹20.08 Billion (2025-12-31) | ₹17.40 Billion (2025-09-30) | ₹18.54 Billion (2025-06-30) | ₹11.50 Billion (2025-03-31) | ₹18.30 Billion (2024-12-31) | ₹18.50 Billion (2025-12-31) | ₹17.40 Billion (2025-09-30) | ₹18.54 Billion (2025-06-30) | ₹13.76 Billion (2025-03-31) | ₹18.30 Billion (2024-12-31)
Gross Profit: ₹39.21 Billion (2025-1...</f>
        <v/>
      </c>
      <c r="F14" s="16" t="n">
        <v>2</v>
      </c>
      <c r="G14" s="17" t="n">
        <v>3</v>
      </c>
      <c r="H14" s="18" t="n">
        <v>4</v>
      </c>
      <c r="I14" s="17" t="n">
        <v>3</v>
      </c>
      <c r="J14" s="12" t="inlineStr">
        <is>
          <t>Yes</t>
        </is>
      </c>
      <c r="K14" s="12" t="inlineStr">
        <is>
          <t>No</t>
        </is>
      </c>
      <c r="L14" s="12" t="inlineStr">
        <is>
          <t>N/A</t>
        </is>
      </c>
      <c r="M14" s="12" t="n">
        <v>1.82</v>
      </c>
      <c r="N14" s="12" t="inlineStr"/>
      <c r="O14" s="14" t="inlineStr">
        <is>
          <t>Answer avoids hallucinations but lacks data</t>
        </is>
      </c>
    </row>
    <row r="15">
      <c r="A15" s="13" t="inlineStr">
        <is>
          <t>M03</t>
        </is>
      </c>
      <c r="B15" s="13" t="inlineStr">
        <is>
          <t>Financial Metric</t>
        </is>
      </c>
      <c r="C15" s="13" t="inlineStr">
        <is>
          <t>What is the dividend yield of Coal India?</t>
        </is>
      </c>
      <c r="D15" s="13" t="inlineStr">
        <is>
          <t>I do not have that data in my records.</t>
        </is>
      </c>
      <c r="E15" s="13">
        <f>== COALINDIA | Company | Coal India Limited ===
Sector: Energy
Industry: Thermal Coal
Insiders Holding: 63.1%
Institutions Holding: 25.1%
EBITDA: ₹149.70 Billion (2026-03-31) | ₹97.93 Billion (2025-12-31) | ₹119.74 Billion (2025-06-30) | ₹133.12 Billion (2025-03-31) | ₹120.18 Billion (2024-12-31) | ₹149.70 Billion (2026-03-31) | ₹97.93 Billion (2025-12-31) | ₹119.74 Billion (2025-06-30) | ₹133.12 Billion (2025-03-31) | ₹120.18 Billion (2024-12-31)
Gross Profit: ₹436.24 Billion (2026-03-31) | ₹2...</f>
        <v/>
      </c>
      <c r="F15" s="16" t="n">
        <v>2</v>
      </c>
      <c r="G15" s="17" t="n">
        <v>3</v>
      </c>
      <c r="H15" s="18" t="n">
        <v>4</v>
      </c>
      <c r="I15" s="17" t="n">
        <v>3</v>
      </c>
      <c r="J15" s="13" t="inlineStr">
        <is>
          <t>Yes</t>
        </is>
      </c>
      <c r="K15" s="13" t="inlineStr">
        <is>
          <t>No</t>
        </is>
      </c>
      <c r="L15" s="13" t="inlineStr">
        <is>
          <t>N/A</t>
        </is>
      </c>
      <c r="M15" s="13" t="n">
        <v>1.557</v>
      </c>
      <c r="N15" s="13" t="inlineStr"/>
      <c r="O15" s="15" t="inlineStr">
        <is>
          <t>Answer avoids hallucinations but lacks factual data</t>
        </is>
      </c>
    </row>
    <row r="16">
      <c r="A16" s="12" t="inlineStr">
        <is>
          <t>P01</t>
        </is>
      </c>
      <c r="B16" s="12" t="inlineStr">
        <is>
          <t>Leadership</t>
        </is>
      </c>
      <c r="C16" s="12" t="inlineStr">
        <is>
          <t>Who is the CEO of Wipro?</t>
        </is>
      </c>
      <c r="D16" s="12" t="inlineStr">
        <is>
          <t>I do not have that data in my records.</t>
        </is>
      </c>
      <c r="E16" s="12">
        <f>== WIPRO | Company | Wipro Limited ===
Sector: Technology
Industry: Information Technology Services
Insiders Holding: 72.8%
Institutions Holding: 15.0%
EBITDA: ₹48.09 Billion (2025-12-31) | ₹49.67 Billion (2025-09-30) | ₹48.43 Billion (2025-06-30) | ₹47.82 Billion (2025-03-31) | ₹51.23 Billion (2024-12-31) | ₹51.25 Billion (2025-12-31) | ₹51.68 Billion (2025-09-30) | ₹51.70 Billion (2025-06-30) | ₹52.89 Billion (2025-03-31) | ₹53.87 Billion (2024-12-31)
Gross Profit: ₹68.36 Billion (2025-12-31)...</f>
        <v/>
      </c>
      <c r="F16" s="16" t="n">
        <v>2</v>
      </c>
      <c r="G16" s="17" t="n">
        <v>3</v>
      </c>
      <c r="H16" s="18" t="n">
        <v>4</v>
      </c>
      <c r="I16" s="17" t="n">
        <v>3</v>
      </c>
      <c r="J16" s="12" t="inlineStr">
        <is>
          <t>Yes</t>
        </is>
      </c>
      <c r="K16" s="12" t="inlineStr">
        <is>
          <t>No</t>
        </is>
      </c>
      <c r="L16" s="12" t="inlineStr">
        <is>
          <t>N/A</t>
        </is>
      </c>
      <c r="M16" s="12" t="n">
        <v>3.478</v>
      </c>
      <c r="N16" s="12" t="inlineStr"/>
      <c r="O16" s="14" t="inlineStr">
        <is>
          <t>Answer avoids hallucinations but lacks factual data</t>
        </is>
      </c>
    </row>
    <row r="17">
      <c r="A17" s="13" t="inlineStr">
        <is>
          <t>P02</t>
        </is>
      </c>
      <c r="B17" s="13" t="inlineStr">
        <is>
          <t>Leadership</t>
        </is>
      </c>
      <c r="C17" s="13" t="inlineStr">
        <is>
          <t>Who leads Maruti Suzuki?</t>
        </is>
      </c>
      <c r="D17" s="13" t="inlineStr">
        <is>
          <t>I do not have that data in my records.</t>
        </is>
      </c>
      <c r="E17" s="13">
        <f>== MARUTI | Company | Maruti Suzuki India Limited ===
Sector: Consumer Cyclical
Industry: Auto Manufacturers
Insiders Holding: 59.7%
Institutions Holding: 28.0%
EBITDA: ₹67.39 Billion (2026-03-31) | ₹67.14 Billion (2025-12-31) | ₹65.46 Billion (2025-06-30) | ₹64.27 Billion (2025-03-31) | ₹62.01 Billion (2024-12-31) | ₹67.39 Billion (2026-03-31) | ₹67.14 Billion (2025-12-31) | ₹65.46 Billion (2025-06-30) | ₹64.27 Billion (2025-03-31) | ₹62.01 Billion (2024-12-31)
Gross Profit: ₹131.70 Billion (2...</f>
        <v/>
      </c>
      <c r="F17" s="16" t="n">
        <v>2</v>
      </c>
      <c r="G17" s="17" t="n">
        <v>3</v>
      </c>
      <c r="H17" s="18" t="n">
        <v>4</v>
      </c>
      <c r="I17" s="17" t="n">
        <v>3</v>
      </c>
      <c r="J17" s="13" t="inlineStr">
        <is>
          <t>Yes</t>
        </is>
      </c>
      <c r="K17" s="13" t="inlineStr">
        <is>
          <t>No</t>
        </is>
      </c>
      <c r="L17" s="13" t="inlineStr">
        <is>
          <t>N/A</t>
        </is>
      </c>
      <c r="M17" s="13" t="n">
        <v>7.558</v>
      </c>
      <c r="N17" s="13" t="inlineStr"/>
      <c r="O17" s="15" t="inlineStr">
        <is>
          <t>Answer lacks factual data but attempts to clarify</t>
        </is>
      </c>
    </row>
    <row r="18">
      <c r="A18" s="12" t="inlineStr">
        <is>
          <t>SH01</t>
        </is>
      </c>
      <c r="B18" s="12" t="inlineStr">
        <is>
          <t>Shareholding</t>
        </is>
      </c>
      <c r="C18" s="12" t="inlineStr">
        <is>
          <t>What percentage of ONGC is held by institutions?</t>
        </is>
      </c>
      <c r="D18" s="12" t="inlineStr">
        <is>
          <t>Institutions hold **22.8 %** of ONGC.</t>
        </is>
      </c>
      <c r="E18" s="12">
        <f>== ONGC | Company | Oil and Natural Gas Corporation Limited ===
Sector: Energy
Industry: Oil &amp; Gas Integrated
Insiders Holding: 69.2%
Institutions Holding: 22.8%
EBITDA: ₹214.09 Billion (2025-12-31) | ₹217.99 Billion (2025-09-30) | ₹206.50 Billion (2025-06-30) | ₹201.87 Billion (2025-03-31) | ₹191.61 Billion (2024-12-31) | ₹193.97 Billion (2025-12-31) | ₹206.95 Billion (2025-09-30) | ₹188.50 Billion (2025-06-30) | ₹138.12 Billion (2025-03-31) | ₹172.30 Billion (2024-12-31)
Gross Profit: ₹541.26...</f>
        <v/>
      </c>
      <c r="F18" s="18" t="n">
        <v>4</v>
      </c>
      <c r="G18" s="18" t="n">
        <v>5</v>
      </c>
      <c r="H18" s="17" t="n">
        <v>3</v>
      </c>
      <c r="I18" s="18" t="n">
        <v>4</v>
      </c>
      <c r="J18" s="12" t="inlineStr">
        <is>
          <t>Yes</t>
        </is>
      </c>
      <c r="K18" s="12" t="inlineStr">
        <is>
          <t>Yes</t>
        </is>
      </c>
      <c r="L18" s="12" t="inlineStr">
        <is>
          <t>N/A</t>
        </is>
      </c>
      <c r="M18" s="12" t="n">
        <v>3.839</v>
      </c>
      <c r="N18" s="12" t="inlineStr"/>
      <c r="O18" s="14" t="inlineStr">
        <is>
          <t>Answer is based on available data</t>
        </is>
      </c>
    </row>
    <row r="19">
      <c r="A19" s="13" t="inlineStr">
        <is>
          <t>SH02</t>
        </is>
      </c>
      <c r="B19" s="13" t="inlineStr">
        <is>
          <t>Shareholding</t>
        </is>
      </c>
      <c r="C19" s="13" t="inlineStr">
        <is>
          <t>What is the insider holding percentage for Sun Pharmaceutical?</t>
        </is>
      </c>
      <c r="D19" s="13" t="inlineStr">
        <is>
          <t>Insider holding percentage for Sun Pharmaceutical: **55.6 %**</t>
        </is>
      </c>
      <c r="E19" s="13">
        <f>== SUNPHARMA | Company | Sun Pharmaceutical Industries Limited ===
Sector: Healthcare
Industry: Drug Manufacturers - Specialty &amp; Generic
Insiders Holding: 55.6%
Institutions Holding: 28.6%
EBITDA: ₹55.27 Billion (2025-12-31) | ₹47.66 Billion (2025-06-30) | ₹38.18 Billion (2025-03-31) | ₹44.75 Billion (2024-12-31) | ₹42.93 Billion (2024-09-30) | ₹50.38 Billion (2025-12-31) | ₹39.48 Billion (2025-06-30) | ₹39.67 Billion (2025-03-31) | ₹41.58 Billion (2024-12-31) | ₹42.93 Billion (2024-09-30)
Gros...</f>
        <v/>
      </c>
      <c r="F19" s="18" t="n">
        <v>4</v>
      </c>
      <c r="G19" s="17" t="n">
        <v>3</v>
      </c>
      <c r="H19" s="16" t="n">
        <v>2</v>
      </c>
      <c r="I19" s="17" t="n">
        <v>3</v>
      </c>
      <c r="J19" s="13" t="inlineStr">
        <is>
          <t>Yes</t>
        </is>
      </c>
      <c r="K19" s="13" t="inlineStr">
        <is>
          <t>No</t>
        </is>
      </c>
      <c r="L19" s="13" t="inlineStr">
        <is>
          <t>N/A</t>
        </is>
      </c>
      <c r="M19" s="13" t="n">
        <v>9.603</v>
      </c>
      <c r="N19" s="13" t="inlineStr"/>
      <c r="O19" s="15" t="inlineStr">
        <is>
          <t>Answer provides insider holding percentage but lacks ground truth</t>
        </is>
      </c>
    </row>
    <row r="20">
      <c r="A20" s="12" t="inlineStr">
        <is>
          <t>R01</t>
        </is>
      </c>
      <c r="B20" s="12" t="inlineStr">
        <is>
          <t>Robustness</t>
        </is>
      </c>
      <c r="C20" s="12" t="inlineStr">
        <is>
          <t>What is the current gold price?</t>
        </is>
      </c>
      <c r="D20" s="12" t="inlineStr">
        <is>
          <t>I do not have that data in my records.</t>
        </is>
      </c>
      <c r="E20" s="12" t="inlineStr">
        <is>
          <t>stock exchanges with a market value of ₹2.16 lakh crore (equivalent to ₹4.8 trillion or US$51 billion in 2023). CIL was included in the 30-member BSE SENSEX on 8 August 2011.
---
In 2016, Titan acquired a 62% stake in CaratLane for ₹357 crore (US$53.13 million). In 2023, Titan acquired another 27.18% stake in CaratLane from its founder and his family for ₹4,621 crore (US$559.45 million) in cash, following which its stake in the company increased to 98.28%. In 2024, Titan acquired the remaining s...</t>
        </is>
      </c>
      <c r="F20" s="16" t="n">
        <v>2</v>
      </c>
      <c r="G20" s="17" t="n">
        <v>3</v>
      </c>
      <c r="H20" s="18" t="n">
        <v>4</v>
      </c>
      <c r="I20" s="17" t="n">
        <v>3</v>
      </c>
      <c r="J20" s="12" t="inlineStr">
        <is>
          <t>N/A</t>
        </is>
      </c>
      <c r="K20" s="12" t="inlineStr">
        <is>
          <t>N/A</t>
        </is>
      </c>
      <c r="L20" s="12" t="inlineStr">
        <is>
          <t>N/A</t>
        </is>
      </c>
      <c r="M20" s="12" t="n">
        <v>2.101</v>
      </c>
      <c r="N20" s="12" t="inlineStr"/>
      <c r="O20" s="14" t="inlineStr">
        <is>
          <t>Does not have data in records</t>
        </is>
      </c>
    </row>
    <row r="21">
      <c r="A21" s="13" t="inlineStr">
        <is>
          <t>R02</t>
        </is>
      </c>
      <c r="B21" s="13" t="inlineStr">
        <is>
          <t>Robustness</t>
        </is>
      </c>
      <c r="C21" s="13" t="inlineStr">
        <is>
          <t>Summarise the last 5 years of NIFTY performance.</t>
        </is>
      </c>
      <c r="D21" s="13" t="inlineStr">
        <is>
          <t>I do not have that data in my records.</t>
        </is>
      </c>
      <c r="E21" s="13" t="inlineStr">
        <is>
          <t>### 1975–1994
---
### 1995–2004
---
## History
---
Community 5 Summary: Based on the provided community subgraph, here is a concise summary of its key themes, relationships, and significance:
**Key Themes:**
1. **Utilities Sector Dominance**: The community revolves around the Utilities sector, with NTPC and POWERGRID being prominent companies.
2. **Insider and Institutional Holdings**: Both insider and institutional holdings are significant in this community, indicating a high level of interes...</t>
        </is>
      </c>
      <c r="F21" s="16" t="n">
        <v>2</v>
      </c>
      <c r="G21" s="17" t="n">
        <v>3</v>
      </c>
      <c r="H21" s="18" t="n">
        <v>4</v>
      </c>
      <c r="I21" s="17" t="n">
        <v>3</v>
      </c>
      <c r="J21" s="13" t="inlineStr">
        <is>
          <t>N/A</t>
        </is>
      </c>
      <c r="K21" s="13" t="inlineStr">
        <is>
          <t>N/A</t>
        </is>
      </c>
      <c r="L21" s="13" t="inlineStr">
        <is>
          <t>N/A</t>
        </is>
      </c>
      <c r="M21" s="13" t="n">
        <v>9.91</v>
      </c>
      <c r="N21" s="13" t="inlineStr"/>
      <c r="O21" s="15" t="inlineStr">
        <is>
          <t>Avoids data but provides direct answer</t>
        </is>
      </c>
    </row>
    <row r="22">
      <c r="A22" s="12" t="inlineStr">
        <is>
          <t>MT01</t>
        </is>
      </c>
      <c r="B22" s="12" t="inlineStr">
        <is>
          <t>Multi-turn Sim</t>
        </is>
      </c>
      <c r="C22" s="12" t="inlineStr">
        <is>
          <t>Tell me about TCS revenue, then compare it with Infosys revenue.</t>
        </is>
      </c>
      <c r="D22" s="12" t="inlineStr">
        <is>
          <t>I do not have that data in my records.</t>
        </is>
      </c>
      <c r="E22" s="12">
        <f>== INFY | Company | Infosys Limited ===
Sector: Technology
Industry: Information Technology Services
Insiders Holding: 16.1%
Institutions Holding: 48.7%
EBITDA: ₹1.33 Billion (2026-03-31) | ₹1.15 Billion (2025-12-31) | ₹1.29 Billion (2025-09-30) | ₹1.03 Billion (2025-06-30) | ₹1.28 Billion (2025-03-31) | ₹1.33 Billion (2026-03-31) | ₹1.18 Billion (2025-12-31) | ₹1.31 Billion (2025-09-30) | ₹1.03 Billion (2025-06-30) | ₹1.28 Billion (2025-03-31)
Gross Profit: ₹1.55 Billion (2026-03-31) | ₹1.44 B...</f>
        <v/>
      </c>
      <c r="F22" s="16" t="n">
        <v>2</v>
      </c>
      <c r="G22" s="17" t="n">
        <v>3</v>
      </c>
      <c r="H22" s="18" t="n">
        <v>4</v>
      </c>
      <c r="I22" s="17" t="n">
        <v>3</v>
      </c>
      <c r="J22" s="12" t="inlineStr">
        <is>
          <t>Yes</t>
        </is>
      </c>
      <c r="K22" s="12" t="inlineStr">
        <is>
          <t>No</t>
        </is>
      </c>
      <c r="L22" s="12" t="inlineStr">
        <is>
          <t>No</t>
        </is>
      </c>
      <c r="M22" s="12" t="n">
        <v>1.788</v>
      </c>
      <c r="N22" s="12" t="inlineStr"/>
      <c r="O22" s="14" t="inlineStr">
        <is>
          <t>Answer avoids hallucinations but lacks data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38" customWidth="1" min="3" max="3"/>
    <col width="45" customWidth="1" min="4" max="4"/>
    <col width="45" customWidth="1" min="5" max="5"/>
    <col width="12" customWidth="1" min="6" max="6"/>
    <col width="12" customWidth="1" min="7" max="7"/>
    <col width="12" customWidth="1" min="8" max="8"/>
    <col width="10" customWidth="1" min="9" max="9"/>
    <col width="11" customWidth="1" min="10" max="10"/>
    <col width="13" customWidth="1" min="11" max="11"/>
    <col width="11" customWidth="1" min="12" max="12"/>
    <col width="10" customWidth="1" min="13" max="13"/>
    <col width="22" customWidth="1" min="14" max="14"/>
    <col width="40" customWidth="1" min="15" max="15"/>
  </cols>
  <sheetData>
    <row r="1" ht="36" customHeight="1">
      <c r="A1" s="11" t="inlineStr">
        <is>
          <t>ID</t>
        </is>
      </c>
      <c r="B1" s="11" t="inlineStr">
        <is>
          <t>Category</t>
        </is>
      </c>
      <c r="C1" s="11" t="inlineStr">
        <is>
          <t>Question</t>
        </is>
      </c>
      <c r="D1" s="11" t="inlineStr">
        <is>
          <t>Answer</t>
        </is>
      </c>
      <c r="E1" s="11" t="inlineStr">
        <is>
          <t>Retrieved Context</t>
        </is>
      </c>
      <c r="F1" s="11" t="inlineStr">
        <is>
          <t>Faithfulness
(1-5)</t>
        </is>
      </c>
      <c r="G1" s="11" t="inlineStr">
        <is>
          <t>Answer Relevance
(1-5)</t>
        </is>
      </c>
      <c r="H1" s="11" t="inlineStr">
        <is>
          <t>Completeness
(1-5)</t>
        </is>
      </c>
      <c r="I1" s="11" t="inlineStr">
        <is>
          <t>Avg Score</t>
        </is>
      </c>
      <c r="J1" s="11" t="inlineStr">
        <is>
          <t>Context Hit</t>
        </is>
      </c>
      <c r="K1" s="11" t="inlineStr">
        <is>
          <t>Answer Mentions
Entity</t>
        </is>
      </c>
      <c r="L1" s="11" t="inlineStr">
        <is>
          <t>All Entities
Hit</t>
        </is>
      </c>
      <c r="M1" s="11" t="inlineStr">
        <is>
          <t>Latency (s)</t>
        </is>
      </c>
      <c r="N1" s="11" t="inlineStr">
        <is>
          <t>Error</t>
        </is>
      </c>
      <c r="O1" s="11" t="inlineStr">
        <is>
          <t>Judge Reasoning</t>
        </is>
      </c>
    </row>
    <row r="2">
      <c r="A2" s="12" t="inlineStr">
        <is>
          <t>F01</t>
        </is>
      </c>
      <c r="B2" s="12" t="inlineStr">
        <is>
          <t>Single-Company Factual</t>
        </is>
      </c>
      <c r="C2" s="12" t="inlineStr">
        <is>
          <t>What is the current revenue of TCS?</t>
        </is>
      </c>
      <c r="D2" s="12" t="inlineStr">
        <is>
          <t>Source: Financial Graph
As of 2026-03-31, the EBITDA (Earnings Before Interest, Taxes, Depreciation, and Amortization) for TCS is ₹200.33 Billion.
However, I do not have a direct figure for revenue in my records.</t>
        </is>
      </c>
      <c r="E2" s="12">
        <f>== TCS | Company | Tata Consultancy Services Limited ===
Sector: Technology
Industry: Information Technology Services
Insiders Holding: 71.8%
Institutions Holding: 17.0%
EBITDA: ₹200.33 Billion (2026-03-31) | ₹193.87 Billion (2025-12-31) | ₹184.13 Billion (2025-06-30) | ₹180.08 Billion (2025-03-31) | ₹182.77 Billion (2024-12-31) | ₹200.33 Billion (2026-03-31) | ₹159.96 Billion (2025-12-31) | ₹185.35 Billion (2025-06-30) | ₹180.08 Billion (2025-03-31) | ₹182.77 Billion (2024-12-31)
Gross Profit:...</f>
        <v/>
      </c>
      <c r="F2" s="16" t="n">
        <v>2</v>
      </c>
      <c r="G2" s="17" t="n">
        <v>3</v>
      </c>
      <c r="H2" s="18" t="n">
        <v>4</v>
      </c>
      <c r="I2" s="17" t="n">
        <v>3</v>
      </c>
      <c r="J2" s="12" t="inlineStr">
        <is>
          <t>Yes</t>
        </is>
      </c>
      <c r="K2" s="12" t="inlineStr">
        <is>
          <t>Yes</t>
        </is>
      </c>
      <c r="L2" s="12" t="inlineStr">
        <is>
          <t>N/A</t>
        </is>
      </c>
      <c r="M2" s="12" t="n">
        <v>2.704</v>
      </c>
      <c r="N2" s="12" t="inlineStr"/>
      <c r="O2" s="14" t="inlineStr">
        <is>
          <t>Answer provides some factual basis but lacks direct revenue figure</t>
        </is>
      </c>
    </row>
    <row r="3">
      <c r="A3" s="13" t="inlineStr">
        <is>
          <t>F02</t>
        </is>
      </c>
      <c r="B3" s="13" t="inlineStr">
        <is>
          <t>Single-Company Factual</t>
        </is>
      </c>
      <c r="C3" s="13" t="inlineStr">
        <is>
          <t>Who leads Reliance Industries?</t>
        </is>
      </c>
      <c r="D3" s="13" t="inlineStr">
        <is>
          <t>Source: Financial Graph
Mukesh Ambani is the Chairman and Managing Director of Reliance Industries Limited. His son Anant Ambani will take over the new energy business as specified by Mukesh Ambani at the 2022 AGM.</t>
        </is>
      </c>
      <c r="E3" s="13">
        <f>== RELIANCE | Company | Reliance Industries Limited ===
Sector: Energy
Industry: Oil &amp; Gas Refining &amp; Marketing
Insiders Holding: 51.0%
Institutions Holding: 28.0%
EBITDA: ₹337.80 Billion (2026-03-31) | ₹363.10 Billion (2025-12-31) | ₹352.58 Billion (2025-06-30) | ₹352.58 Billion (2025-03-31) | ₹348.22 Billion (2024-12-31) | ₹337.80 Billion (2026-03-31) | ₹363.10 Billion (2025-12-31) | ₹441.82 Billion (2025-06-30) | ₹352.58 Billion (2025-03-31) | ₹348.22 Billion (2024-12-31)
Gross Profit: ₹782....</f>
        <v/>
      </c>
      <c r="F3" s="18" t="n">
        <v>4</v>
      </c>
      <c r="G3" s="17" t="n">
        <v>3</v>
      </c>
      <c r="H3" s="16" t="n">
        <v>2</v>
      </c>
      <c r="I3" s="17" t="n">
        <v>3</v>
      </c>
      <c r="J3" s="13" t="inlineStr">
        <is>
          <t>Yes</t>
        </is>
      </c>
      <c r="K3" s="13" t="inlineStr">
        <is>
          <t>Yes</t>
        </is>
      </c>
      <c r="L3" s="13" t="inlineStr">
        <is>
          <t>N/A</t>
        </is>
      </c>
      <c r="M3" s="13" t="n">
        <v>5.16</v>
      </c>
      <c r="N3" s="13" t="inlineStr"/>
      <c r="O3" s="15" t="inlineStr">
        <is>
          <t>Answer provides some factual info but lacks direct answer</t>
        </is>
      </c>
    </row>
    <row r="4">
      <c r="A4" s="12" t="inlineStr">
        <is>
          <t>F03</t>
        </is>
      </c>
      <c r="B4" s="12" t="inlineStr">
        <is>
          <t>Single-Company Factual</t>
        </is>
      </c>
      <c r="C4" s="12" t="inlineStr">
        <is>
          <t>What sector does Infosys operate in?</t>
        </is>
      </c>
      <c r="D4" s="12" t="inlineStr">
        <is>
          <t>Source: Financial Graph
Sector: Technology</t>
        </is>
      </c>
      <c r="E4" s="12">
        <f>== INFY | Company | Infosys Limited ===
Sector: Technology
Industry: Information Technology Services
Insiders Holding: 16.1%
Institutions Holding: 48.7%
EBITDA: ₹1.33 Billion (2026-03-31) | ₹1.15 Billion (2025-12-31) | ₹1.29 Billion (2025-09-30) | ₹1.03 Billion (2025-06-30) | ₹1.28 Billion (2025-03-31) | ₹1.33 Billion (2026-03-31) | ₹1.18 Billion (2025-12-31) | ₹1.31 Billion (2025-09-30) | ₹1.03 Billion (2025-06-30) | ₹1.28 Billion (2025-03-31)
Gross Profit: ₹1.55 Billion (2026-03-31) | ₹1.44 B...</f>
        <v/>
      </c>
      <c r="F4" s="18" t="n">
        <v>5</v>
      </c>
      <c r="G4" s="18" t="n">
        <v>5</v>
      </c>
      <c r="H4" s="18" t="n">
        <v>4</v>
      </c>
      <c r="I4" s="18" t="n">
        <v>4.67</v>
      </c>
      <c r="J4" s="12" t="inlineStr">
        <is>
          <t>Yes</t>
        </is>
      </c>
      <c r="K4" s="12" t="inlineStr">
        <is>
          <t>No</t>
        </is>
      </c>
      <c r="L4" s="12" t="inlineStr">
        <is>
          <t>N/A</t>
        </is>
      </c>
      <c r="M4" s="12" t="n">
        <v>4.305</v>
      </c>
      <c r="N4" s="12" t="inlineStr"/>
      <c r="O4" s="14" t="inlineStr">
        <is>
          <t>Answer is directly based on NIFTY data</t>
        </is>
      </c>
    </row>
    <row r="5">
      <c r="A5" s="13" t="inlineStr">
        <is>
          <t>F04</t>
        </is>
      </c>
      <c r="B5" s="13" t="inlineStr">
        <is>
          <t>Single-Company Factual</t>
        </is>
      </c>
      <c r="C5" s="13" t="inlineStr">
        <is>
          <t>What is HDFC Bank's net profit for the latest reported quarter?</t>
        </is>
      </c>
      <c r="D5" s="13" t="inlineStr">
        <is>
          <t>Source: Financial Graph
HDFC Bank Limited's Net Profit for the latest reported quarter (2026-03-31) is ₹4.97 Billion.</t>
        </is>
      </c>
      <c r="E5" s="13">
        <f>== HDFCBANK | Company | HDFC Bank Limited ===
Sector: Financial Services
Industry: Banks - Regional
Insiders Holding: 0.2%
Institutions Holding: 57.3%
Net Debt: ₹3.85 Trillion (2025-06-30) | ₹3.95 Trillion (2025-03-31) | ₹4.22 Trillion (2024-12-31) | ₹5.44 Trillion (2024-09-30)
Net Income: ₹162.58 Billion (2025-06-30) | ₹153.93 Billion (2025-03-31) | ₹176.57 Billion (2024-12-31) | ₹173.81 Billion (2024-09-30) | ₹162.58 Billion (2025-06-30) | ₹153.93 Billion (2025-03-31) | ₹176.57 Billion (2024-...</f>
        <v/>
      </c>
      <c r="F5" s="18" t="n">
        <v>4</v>
      </c>
      <c r="G5" s="17" t="n">
        <v>3</v>
      </c>
      <c r="H5" s="16" t="n">
        <v>2</v>
      </c>
      <c r="I5" s="17" t="n">
        <v>3</v>
      </c>
      <c r="J5" s="13" t="inlineStr">
        <is>
          <t>Yes</t>
        </is>
      </c>
      <c r="K5" s="13" t="inlineStr">
        <is>
          <t>No</t>
        </is>
      </c>
      <c r="L5" s="13" t="inlineStr">
        <is>
          <t>N/A</t>
        </is>
      </c>
      <c r="M5" s="13" t="n">
        <v>5.645</v>
      </c>
      <c r="N5" s="13" t="inlineStr"/>
      <c r="O5" s="15" t="inlineStr">
        <is>
          <t>Answer provides specific data but lacks source</t>
        </is>
      </c>
    </row>
    <row r="6">
      <c r="A6" s="12" t="inlineStr">
        <is>
          <t>F05</t>
        </is>
      </c>
      <c r="B6" s="12" t="inlineStr">
        <is>
          <t>Single-Company Factual</t>
        </is>
      </c>
      <c r="C6" s="12" t="inlineStr">
        <is>
          <t>What is the debt-to-equity ratio of Tata Motors?</t>
        </is>
      </c>
      <c r="D6" s="12" t="inlineStr">
        <is>
          <t>To calculate the debt-to-equity ratio, we need to know the Net Debt and Equity values of Tata Motors.
According to the provided context:
Net Debt: ₹350.77 Billion (2025-09-30)
Equity value isn't directly available; however, we can find the Total Share Capital which is a proxy for equity value.
Total Share Capital: ₹1.43 Trillion (2024-09-30)
Debt-to-Equity Ratio = Net Debt / Total Share Capital
= ₹350.77 Billion / ₹1430 Billion
≈ 0.246 or 24.6%
So, the debt-to-equity ratio of Tata Motors is approximately 24.6%.</t>
        </is>
      </c>
      <c r="E6" s="12">
        <f>== TATACONSUM | Company | Tata Consumer Products Limited ===
Sector: Consumer Defensive
Industry: Packaged Foods
Insiders Holding: 34.4%
Institutions Holding: 33.6%
EBITDA: ₹7.54 Billion (2025-12-31) | ₹6.48 Billion (2025-06-30) | ₹6.53 Billion (2025-03-31) | ₹6.16 Billion (2024-12-31) | ₹6.72 Billion (2024-09-30) | ₹7.31 Billion (2025-12-31) | ₹6.48 Billion (2025-06-30) | ₹7.23 Billion (2025-03-31) | ₹6.10 Billion (2024-12-31) | ₹6.45 Billion (2024-09-30)
Gross Profit: ₹21.87 Billion (2025-12-...</f>
        <v/>
      </c>
      <c r="F6" s="18" t="n">
        <v>4</v>
      </c>
      <c r="G6" s="17" t="n">
        <v>3</v>
      </c>
      <c r="H6" s="16" t="n">
        <v>2</v>
      </c>
      <c r="I6" s="17" t="n">
        <v>3</v>
      </c>
      <c r="J6" s="12" t="inlineStr">
        <is>
          <t>No</t>
        </is>
      </c>
      <c r="K6" s="12" t="inlineStr">
        <is>
          <t>No</t>
        </is>
      </c>
      <c r="L6" s="12" t="inlineStr">
        <is>
          <t>N/A</t>
        </is>
      </c>
      <c r="M6" s="12" t="n">
        <v>9.664999999999999</v>
      </c>
      <c r="N6" s="12" t="inlineStr"/>
      <c r="O6" s="14" t="inlineStr">
        <is>
          <t>Answer is based on available data, but lacks direct equity value</t>
        </is>
      </c>
    </row>
    <row r="7">
      <c r="A7" s="13" t="inlineStr">
        <is>
          <t>C01</t>
        </is>
      </c>
      <c r="B7" s="13" t="inlineStr">
        <is>
          <t>Comparison</t>
        </is>
      </c>
      <c r="C7" s="13" t="inlineStr">
        <is>
          <t>Compare the revenue of TCS and Infosys.</t>
        </is>
      </c>
      <c r="D7" s="13" t="inlineStr">
        <is>
          <t>Source: Financial Graph
As of 2026-03-31:
* Tata Consultancy Services (TCS) - ₹200.33 Billion
* Infosys Limited - ₹1.55 Billion</t>
        </is>
      </c>
      <c r="E7" s="13">
        <f>== INFY | Company | Infosys Limited ===
Sector: Technology
Industry: Information Technology Services
Insiders Holding: 16.1%
Institutions Holding: 48.7%
EBITDA: ₹1.33 Billion (2026-03-31) | ₹1.15 Billion (2025-12-31) | ₹1.29 Billion (2025-09-30) | ₹1.03 Billion (2025-06-30) | ₹1.28 Billion (2025-03-31) | ₹1.33 Billion (2026-03-31) | ₹1.18 Billion (2025-12-31) | ₹1.31 Billion (2025-09-30) | ₹1.03 Billion (2025-06-30) | ₹1.28 Billion (2025-03-31)
Gross Profit: ₹1.55 Billion (2026-03-31) | ₹1.44 B...</f>
        <v/>
      </c>
      <c r="F7" s="18" t="n">
        <v>4</v>
      </c>
      <c r="G7" s="17" t="n">
        <v>3</v>
      </c>
      <c r="H7" s="16" t="n">
        <v>2</v>
      </c>
      <c r="I7" s="17" t="n">
        <v>3</v>
      </c>
      <c r="J7" s="13" t="inlineStr">
        <is>
          <t>Yes</t>
        </is>
      </c>
      <c r="K7" s="13" t="inlineStr">
        <is>
          <t>Yes</t>
        </is>
      </c>
      <c r="L7" s="13" t="inlineStr">
        <is>
          <t>No</t>
        </is>
      </c>
      <c r="M7" s="13" t="n">
        <v>4.472</v>
      </c>
      <c r="N7" s="13" t="inlineStr"/>
      <c r="O7" s="15" t="inlineStr">
        <is>
          <t>Grounded in facts but lacks comparison data</t>
        </is>
      </c>
    </row>
    <row r="8">
      <c r="A8" s="12" t="inlineStr">
        <is>
          <t>C02</t>
        </is>
      </c>
      <c r="B8" s="12" t="inlineStr">
        <is>
          <t>Comparison</t>
        </is>
      </c>
      <c r="C8" s="12" t="inlineStr">
        <is>
          <t>Which has a higher market cap, Wipro or HCL Technologies?</t>
        </is>
      </c>
      <c r="D8" s="12" t="inlineStr">
        <is>
          <t>Source: Financial Graph
As of 2026-03-31, HCL Technologies Limited has a Market Capitalization of ₹2.53 Bn.
As of 2026-03-31, Wipro Limited has a Market Capitalization of ₹1.83 Bn.
HCL Technologies has a higher market cap than Wipro.</t>
        </is>
      </c>
      <c r="E8" s="12">
        <f>== HCLTECH | Company | HCL Technologies Limited ===
Sector: Technology
Industry: Information Technology Services
Insiders Holding: 62.7%
Institutions Holding: 27.6%
EBITDA: ₹70.34 Billion (2026-03-31) | ₹77.97 Billion (2025-12-31) | ₹64.91 Billion (2025-06-30) | ₹69.31 Billion (2025-03-31) | ₹73.37 Billion (2024-12-31) | ₹70.34 Billion (2026-03-31) | ₹68.41 Billion (2025-12-31) | ₹64.91 Billion (2025-06-30) | ₹69.31 Billion (2025-03-31) | ₹73.37 Billion (2024-12-31)
Gross Profit: ₹138.95 Billio...</f>
        <v/>
      </c>
      <c r="F8" s="18" t="n">
        <v>4</v>
      </c>
      <c r="G8" s="18" t="n">
        <v>5</v>
      </c>
      <c r="H8" s="17" t="n">
        <v>3</v>
      </c>
      <c r="I8" s="18" t="n">
        <v>4</v>
      </c>
      <c r="J8" s="12" t="inlineStr">
        <is>
          <t>Yes</t>
        </is>
      </c>
      <c r="K8" s="12" t="inlineStr">
        <is>
          <t>Yes</t>
        </is>
      </c>
      <c r="L8" s="12" t="inlineStr">
        <is>
          <t>No</t>
        </is>
      </c>
      <c r="M8" s="12" t="n">
        <v>7.077</v>
      </c>
      <c r="N8" s="12" t="inlineStr"/>
      <c r="O8" s="14" t="inlineStr">
        <is>
          <t>Grounded in facts, relevant to market cap comparison</t>
        </is>
      </c>
    </row>
    <row r="9">
      <c r="A9" s="13" t="inlineStr">
        <is>
          <t>C03</t>
        </is>
      </c>
      <c r="B9" s="13" t="inlineStr">
        <is>
          <t>Comparison</t>
        </is>
      </c>
      <c r="C9" s="13" t="inlineStr">
        <is>
          <t>How does HDFC Bank's PAT compare to ICICI Bank?</t>
        </is>
      </c>
      <c r="D9" s="13" t="inlineStr">
        <is>
          <t>Source: Financial Graph
HDFC Bank's PAT for the latest available period is ₹162.58 Billion (2025-06-30).
ICICI Bank's PAT for the same period is ₹147.55 Billion (2026-03-31). 
Therefore, HDFC Bank has a higher PAT compared to ICICI Bank in the given time frame.</t>
        </is>
      </c>
      <c r="E9" s="13">
        <f>== HDFCBANK | Company | HDFC Bank Limited ===
Sector: Financial Services
Industry: Banks - Regional
Insiders Holding: 0.2%
Institutions Holding: 57.3%
Net Debt: ₹3.85 Trillion (2025-06-30) | ₹3.95 Trillion (2025-03-31) | ₹4.22 Trillion (2024-12-31) | ₹5.44 Trillion (2024-09-30)
Net Income: ₹162.58 Billion (2025-06-30) | ₹153.93 Billion (2025-03-31) | ₹176.57 Billion (2024-12-31) | ₹173.81 Billion (2024-09-30) | ₹162.58 Billion (2025-06-30) | ₹153.93 Billion (2025-03-31) | ₹176.57 Billion (2024-...</f>
        <v/>
      </c>
      <c r="F9" s="18" t="n">
        <v>4</v>
      </c>
      <c r="G9" s="17" t="n">
        <v>3</v>
      </c>
      <c r="H9" s="16" t="n">
        <v>2</v>
      </c>
      <c r="I9" s="17" t="n">
        <v>3</v>
      </c>
      <c r="J9" s="13" t="inlineStr">
        <is>
          <t>Yes</t>
        </is>
      </c>
      <c r="K9" s="13" t="inlineStr">
        <is>
          <t>No</t>
        </is>
      </c>
      <c r="L9" s="13" t="inlineStr">
        <is>
          <t>No</t>
        </is>
      </c>
      <c r="M9" s="13" t="n">
        <v>4.995</v>
      </c>
      <c r="N9" s="13" t="inlineStr"/>
      <c r="O9" s="15" t="inlineStr">
        <is>
          <t>Provides relevant data but lacks ground truth</t>
        </is>
      </c>
    </row>
    <row r="10">
      <c r="A10" s="12" t="inlineStr">
        <is>
          <t>S01</t>
        </is>
      </c>
      <c r="B10" s="12" t="inlineStr">
        <is>
          <t>Sector</t>
        </is>
      </c>
      <c r="C10" s="12" t="inlineStr">
        <is>
          <t>Which NIFTY 50 companies belong to the IT sector?</t>
        </is>
      </c>
      <c r="D10" s="12" t="inlineStr">
        <is>
          <t>Source: Financial Graph
As of May 2026, the following NIFTY 50 companies belong to the IT sector:
1. Infosys Ltd (INFY)
2. Tech Mahindra Ltd (TECHM)
3. HCL Technologies Ltd (HCL)
4. Wipro Ltd (WIPRO)</t>
        </is>
      </c>
      <c r="E10" s="12">
        <f>== BEL | Company | Bharat Electronics Limited ===
Sector: Industrials
Industry: Aerospace &amp; Defense
Insiders Holding: 53.2%
Institutions Holding: 25.6%
EBITDA: ₹22.66 Billion (2025-12-31) | ₹14.02 Billion (2025-06-30) | ₹31.52 Billion (2025-03-31) | ₹18.56 Billion (2024-12-31) | ₹15.58 Billion (2024-09-30) | ₹22.66 Billion (2025-12-31) | ₹14.02 Billion (2025-06-30) | ₹30.10 Billion (2025-03-31) | ₹18.56 Billion (2024-12-31) | ₹15.58 Billion (2024-09-30)
Gross Profit: ₹33.29 Billion (2025-12-31)...</f>
        <v/>
      </c>
      <c r="F10" s="18" t="n">
        <v>4</v>
      </c>
      <c r="G10" s="18" t="n">
        <v>5</v>
      </c>
      <c r="H10" s="17" t="n">
        <v>3</v>
      </c>
      <c r="I10" s="18" t="n">
        <v>4</v>
      </c>
      <c r="J10" s="12" t="inlineStr">
        <is>
          <t>Yes</t>
        </is>
      </c>
      <c r="K10" s="12" t="inlineStr">
        <is>
          <t>Yes</t>
        </is>
      </c>
      <c r="L10" s="12" t="inlineStr">
        <is>
          <t>N/A</t>
        </is>
      </c>
      <c r="M10" s="12" t="n">
        <v>5.313</v>
      </c>
      <c r="N10" s="12" t="inlineStr"/>
      <c r="O10" s="14" t="inlineStr">
        <is>
          <t>Answer is based on NIFTY 50 data, but lacks date range</t>
        </is>
      </c>
    </row>
    <row r="11">
      <c r="A11" s="13" t="inlineStr">
        <is>
          <t>S02</t>
        </is>
      </c>
      <c r="B11" s="13" t="inlineStr">
        <is>
          <t>Sector</t>
        </is>
      </c>
      <c r="C11" s="13" t="inlineStr">
        <is>
          <t>List all banking companies in the NIFTY 50.</t>
        </is>
      </c>
      <c r="D11" s="13" t="inlineStr">
        <is>
          <t>Source: Financial Graph
As of my knowledge cutoff date (01 March 2023), the following banking companies are part of the NIFTY 50 index:
1. State Bank of India (SBI)
2. Hindustan Cobalt Limited is not a bank, so I am removing it from this list.
3. ICICI Bank
4. Axis Bank</t>
        </is>
      </c>
      <c r="E11" s="13" t="inlineStr">
        <is>
          <t>## See also
Aditya Puri
Banking in India
List of banks in India
List of companies of India
## References
---
## Operations
### Indian business
As of 31 December 2024, the bank had a network of 5,706 branches and extension counters, 14,476 automated teller machines and cash recyclers.
### International business
The bank has nine international offices with branches at Singapore, Hong Kong, Dubai (at the DIFC), Shanghai, Colombo and representative offices at Dhaka, Dubai, Sharjah and Abu Dhabi,...</t>
        </is>
      </c>
      <c r="F11" s="18" t="n">
        <v>4</v>
      </c>
      <c r="G11" s="17" t="n">
        <v>3</v>
      </c>
      <c r="H11" s="16" t="n">
        <v>2</v>
      </c>
      <c r="I11" s="17" t="n">
        <v>3</v>
      </c>
      <c r="J11" s="13" t="inlineStr">
        <is>
          <t>Yes</t>
        </is>
      </c>
      <c r="K11" s="13" t="inlineStr">
        <is>
          <t>Yes</t>
        </is>
      </c>
      <c r="L11" s="13" t="inlineStr">
        <is>
          <t>No</t>
        </is>
      </c>
      <c r="M11" s="13" t="n">
        <v>6.7</v>
      </c>
      <c r="N11" s="13" t="inlineStr"/>
      <c r="O11" s="15" t="inlineStr">
        <is>
          <t>Answer is mostly correct but misses Hindustan Cobalt</t>
        </is>
      </c>
    </row>
    <row r="12">
      <c r="A12" s="12" t="inlineStr">
        <is>
          <t>S03</t>
        </is>
      </c>
      <c r="B12" s="12" t="inlineStr">
        <is>
          <t>Sector</t>
        </is>
      </c>
      <c r="C12" s="12" t="inlineStr">
        <is>
          <t>Which energy sector stocks are part of NIFTY 50?</t>
        </is>
      </c>
      <c r="D12" s="12" t="inlineStr">
        <is>
          <t>Source: Financial Graph
The following Energy sector stocks are part of NIFTY 50:
1. ONGC (Oil and Natural Gas Corporation Limited)
2. COALINDIA (Coal India Limited)</t>
        </is>
      </c>
      <c r="E12" s="12">
        <f>== Energy | Sector | Energy ===
Companies in Energy [Sector]:
  - ADANIENT (Adani Enterprises Limited)
  - COALINDIA (Coal India Limited)
  - ONGC (Oil and Natural Gas Corporation Limited)
  - RELIANCE (Reliance Industries Limited)
---
## Listing and shareholding
The equity shares of the company are listed on the Bombay Stock Exchange (BSE) and the National Stock Exchange of India (NSE). The company's shares constitute a part of the BSE SENSEX of the BSE as well as the NIFTY 50 index of the NSE...</f>
        <v/>
      </c>
      <c r="F12" s="18" t="n">
        <v>4</v>
      </c>
      <c r="G12" s="18" t="n">
        <v>5</v>
      </c>
      <c r="H12" s="17" t="n">
        <v>3</v>
      </c>
      <c r="I12" s="18" t="n">
        <v>4</v>
      </c>
      <c r="J12" s="12" t="inlineStr">
        <is>
          <t>Yes</t>
        </is>
      </c>
      <c r="K12" s="12" t="inlineStr">
        <is>
          <t>Yes</t>
        </is>
      </c>
      <c r="L12" s="12" t="inlineStr">
        <is>
          <t>Yes</t>
        </is>
      </c>
      <c r="M12" s="12" t="n">
        <v>4.515</v>
      </c>
      <c r="N12" s="12" t="inlineStr"/>
      <c r="O12" s="14" t="inlineStr">
        <is>
          <t>Grounded in facts, directly answers question</t>
        </is>
      </c>
    </row>
    <row r="13">
      <c r="A13" s="13" t="inlineStr">
        <is>
          <t>M01</t>
        </is>
      </c>
      <c r="B13" s="13" t="inlineStr">
        <is>
          <t>Financial Metric</t>
        </is>
      </c>
      <c r="C13" s="13" t="inlineStr">
        <is>
          <t>What is the P/E ratio of Bajaj Finance?</t>
        </is>
      </c>
      <c r="D13" s="13" t="inlineStr">
        <is>
          <t>Source: Financial Graph
As of March 2026, the P/E (Price-to-Earnings) ratio of Bajaj Finance Limited is not available in my records. However, I can suggest that you check the latest financial reports or stock market data for the most up-to-date information on this metric.</t>
        </is>
      </c>
      <c r="E13" s="13">
        <f>== BAJAJ-AUTO | Company | Bajaj Auto Limited ===
Sector: Consumer Cyclical
Industry: Auto Manufacturers
Insiders Holding: 60.0%
Institutions Holding: 15.8%
EBITDA: ₹41.66 Billion (2025-12-31) | ₹34.04 Billion (2025-09-30) | ₹33.02 Billion (2025-06-30) | ₹22.24 Billion (2025-03-31) | ₹30.98 Billion (2024-12-31) | ₹40.89 Billion (2025-12-31) | ₹34.04 Billion (2025-09-30) | ₹33.02 Billion (2025-06-30) | ₹27.50 Billion (2025-03-31) | ₹30.98 Billion (2024-12-31)
Gross Profit: ₹46.73 Billion (2025-12...</f>
        <v/>
      </c>
      <c r="F13" s="16" t="n">
        <v>2</v>
      </c>
      <c r="G13" s="17" t="n">
        <v>3</v>
      </c>
      <c r="H13" s="18" t="n">
        <v>4</v>
      </c>
      <c r="I13" s="17" t="n">
        <v>3</v>
      </c>
      <c r="J13" s="13" t="inlineStr">
        <is>
          <t>Yes</t>
        </is>
      </c>
      <c r="K13" s="13" t="inlineStr">
        <is>
          <t>No</t>
        </is>
      </c>
      <c r="L13" s="13" t="inlineStr">
        <is>
          <t>N/A</t>
        </is>
      </c>
      <c r="M13" s="13" t="n">
        <v>7.09</v>
      </c>
      <c r="N13" s="13" t="inlineStr"/>
      <c r="O13" s="15" t="inlineStr">
        <is>
          <t>Answer avoids hallucinations but lacks data</t>
        </is>
      </c>
    </row>
    <row r="14">
      <c r="A14" s="12" t="inlineStr">
        <is>
          <t>M02</t>
        </is>
      </c>
      <c r="B14" s="12" t="inlineStr">
        <is>
          <t>Financial Metric</t>
        </is>
      </c>
      <c r="C14" s="12" t="inlineStr">
        <is>
          <t>What is the EPS of Asian Paints?</t>
        </is>
      </c>
      <c r="D14" s="12" t="inlineStr">
        <is>
          <t>Source: Financial Graph
EPS (Earnings Per Share) for Asian Paints can be calculated using the Net Income and Total Shares Outstanding.
As per the given data, Net Income for 2025-12-31 is ₹10.60 Billion.
To calculate EPS, we need to know the Total Shares Outstanding. Unfortunately, this information is not provided in the context.
However, I can suggest that you check the company's latest annual report or financial statements for the most up-to-date information on Total Shares Outstanding and Net Income.
If you provide me with the correct data, I'll be happy to help you calculate the EPS of Asian Paints.</t>
        </is>
      </c>
      <c r="E14" s="12">
        <f>== ASIANPAINT | Company | Asian Paints Limited ===
Sector: Basic Materials
Industry: Specialty Chemicals
Insiders Holding: 52.9%
Institutions Holding: 27.0%
EBITDA: ₹20.08 Billion (2025-12-31) | ₹17.40 Billion (2025-09-30) | ₹18.54 Billion (2025-06-30) | ₹11.50 Billion (2025-03-31) | ₹18.30 Billion (2024-12-31) | ₹18.50 Billion (2025-12-31) | ₹17.40 Billion (2025-09-30) | ₹18.54 Billion (2025-06-30) | ₹13.76 Billion (2025-03-31) | ₹18.30 Billion (2024-12-31)
Gross Profit: ₹39.21 Billion (2025-1...</f>
        <v/>
      </c>
      <c r="F14" s="16" t="n">
        <v>2</v>
      </c>
      <c r="G14" s="17" t="n">
        <v>3</v>
      </c>
      <c r="H14" s="18" t="n">
        <v>4</v>
      </c>
      <c r="I14" s="17" t="n">
        <v>3</v>
      </c>
      <c r="J14" s="12" t="inlineStr">
        <is>
          <t>Yes</t>
        </is>
      </c>
      <c r="K14" s="12" t="inlineStr">
        <is>
          <t>No</t>
        </is>
      </c>
      <c r="L14" s="12" t="inlineStr">
        <is>
          <t>N/A</t>
        </is>
      </c>
      <c r="M14" s="12" t="n">
        <v>8.368</v>
      </c>
      <c r="N14" s="12" t="inlineStr"/>
      <c r="O14" s="14" t="inlineStr">
        <is>
          <t>Answer provides some factual info but lacks key data</t>
        </is>
      </c>
    </row>
    <row r="15">
      <c r="A15" s="13" t="inlineStr">
        <is>
          <t>M03</t>
        </is>
      </c>
      <c r="B15" s="13" t="inlineStr">
        <is>
          <t>Financial Metric</t>
        </is>
      </c>
      <c r="C15" s="13" t="inlineStr">
        <is>
          <t>What is the dividend yield of Coal India?</t>
        </is>
      </c>
      <c r="D15" s="13" t="inlineStr">
        <is>
          <t>Source: Financial Graph
Dividend Yield: 0.5% (as of 2026-03-31)</t>
        </is>
      </c>
      <c r="E15" s="13">
        <f>== COALINDIA | Company | Coal India Limited ===
Sector: Energy
Industry: Thermal Coal
Insiders Holding: 63.1%
Institutions Holding: 25.1%
EBITDA: ₹149.70 Billion (2026-03-31) | ₹97.93 Billion (2025-12-31) | ₹119.74 Billion (2025-06-30) | ₹133.12 Billion (2025-03-31) | ₹120.18 Billion (2024-12-31) | ₹149.70 Billion (2026-03-31) | ₹97.93 Billion (2025-12-31) | ₹119.74 Billion (2025-06-30) | ₹133.12 Billion (2025-03-31) | ₹120.18 Billion (2024-12-31)
Gross Profit: ₹436.24 Billion (2026-03-31) | ₹2...</f>
        <v/>
      </c>
      <c r="F15" s="18" t="n">
        <v>4</v>
      </c>
      <c r="G15" s="17" t="n">
        <v>3</v>
      </c>
      <c r="H15" s="16" t="n">
        <v>2</v>
      </c>
      <c r="I15" s="17" t="n">
        <v>3</v>
      </c>
      <c r="J15" s="13" t="inlineStr">
        <is>
          <t>Yes</t>
        </is>
      </c>
      <c r="K15" s="13" t="inlineStr">
        <is>
          <t>No</t>
        </is>
      </c>
      <c r="L15" s="13" t="inlineStr">
        <is>
          <t>N/A</t>
        </is>
      </c>
      <c r="M15" s="13" t="n">
        <v>5.492</v>
      </c>
      <c r="N15" s="13" t="inlineStr"/>
      <c r="O15" s="15" t="inlineStr">
        <is>
          <t>Answer is based on data but lacks ground truth</t>
        </is>
      </c>
    </row>
    <row r="16">
      <c r="A16" s="12" t="inlineStr">
        <is>
          <t>P01</t>
        </is>
      </c>
      <c r="B16" s="12" t="inlineStr">
        <is>
          <t>Leadership</t>
        </is>
      </c>
      <c r="C16" s="12" t="inlineStr">
        <is>
          <t>Who is the CEO of Wipro?</t>
        </is>
      </c>
      <c r="D16" s="12" t="inlineStr">
        <is>
          <t>Source: Financial Graph
Abidali Neemuchwala has been the CEO of Wipro since February 2016.</t>
        </is>
      </c>
      <c r="E16" s="12">
        <f>== WIPRO | Company | Wipro Limited ===
Sector: Technology
Industry: Information Technology Services
Insiders Holding: 72.8%
Institutions Holding: 15.0%
EBITDA: ₹48.09 Billion (2025-12-31) | ₹49.67 Billion (2025-09-30) | ₹48.43 Billion (2025-06-30) | ₹47.82 Billion (2025-03-31) | ₹51.23 Billion (2024-12-31) | ₹51.25 Billion (2025-12-31) | ₹51.68 Billion (2025-09-30) | ₹51.70 Billion (2025-06-30) | ₹52.89 Billion (2025-03-31) | ₹53.87 Billion (2024-12-31)
Gross Profit: ₹68.36 Billion (2025-12-31)...</f>
        <v/>
      </c>
      <c r="F16" s="18" t="n">
        <v>5</v>
      </c>
      <c r="G16" s="18" t="n">
        <v>5</v>
      </c>
      <c r="H16" s="18" t="n">
        <v>4</v>
      </c>
      <c r="I16" s="18" t="n">
        <v>4.67</v>
      </c>
      <c r="J16" s="12" t="inlineStr">
        <is>
          <t>Yes</t>
        </is>
      </c>
      <c r="K16" s="12" t="inlineStr">
        <is>
          <t>Yes</t>
        </is>
      </c>
      <c r="L16" s="12" t="inlineStr">
        <is>
          <t>N/A</t>
        </is>
      </c>
      <c r="M16" s="12" t="n">
        <v>5.442</v>
      </c>
      <c r="N16" s="12" t="inlineStr"/>
      <c r="O16" s="14" t="inlineStr">
        <is>
          <t>Answer is directly from a reliable source</t>
        </is>
      </c>
    </row>
    <row r="17">
      <c r="A17" s="13" t="inlineStr">
        <is>
          <t>P02</t>
        </is>
      </c>
      <c r="B17" s="13" t="inlineStr">
        <is>
          <t>Leadership</t>
        </is>
      </c>
      <c r="C17" s="13" t="inlineStr">
        <is>
          <t>Who leads Maruti Suzuki?</t>
        </is>
      </c>
      <c r="D17" s="13" t="inlineStr">
        <is>
          <t>Source: Financial Graph
As of my last update (2026-03-31), Rajoy Krishna is the Managing Director and CEO of Maruti Suzuki India Limited.</t>
        </is>
      </c>
      <c r="E17" s="13">
        <f>== MARUTI | Company | Maruti Suzuki India Limited ===
Sector: Consumer Cyclical
Industry: Auto Manufacturers
Insiders Holding: 59.7%
Institutions Holding: 28.0%
EBITDA: ₹67.39 Billion (2026-03-31) | ₹67.14 Billion (2025-12-31) | ₹65.46 Billion (2025-06-30) | ₹64.27 Billion (2025-03-31) | ₹62.01 Billion (2024-12-31) | ₹67.39 Billion (2026-03-31) | ₹67.14 Billion (2025-12-31) | ₹65.46 Billion (2025-06-30) | ₹64.27 Billion (2025-03-31) | ₹62.01 Billion (2024-12-31)
Gross Profit: ₹131.70 Billion (2...</f>
        <v/>
      </c>
      <c r="F17" s="18" t="n">
        <v>4</v>
      </c>
      <c r="G17" s="18" t="n">
        <v>5</v>
      </c>
      <c r="H17" s="17" t="n">
        <v>3</v>
      </c>
      <c r="I17" s="18" t="n">
        <v>4</v>
      </c>
      <c r="J17" s="13" t="inlineStr">
        <is>
          <t>Yes</t>
        </is>
      </c>
      <c r="K17" s="13" t="inlineStr">
        <is>
          <t>Yes</t>
        </is>
      </c>
      <c r="L17" s="13" t="inlineStr">
        <is>
          <t>N/A</t>
        </is>
      </c>
      <c r="M17" s="13" t="n">
        <v>5.69</v>
      </c>
      <c r="N17" s="13" t="inlineStr"/>
      <c r="O17" s="15" t="inlineStr">
        <is>
          <t>Answer is based on recent data, but not verified</t>
        </is>
      </c>
    </row>
    <row r="18">
      <c r="A18" s="12" t="inlineStr">
        <is>
          <t>SH01</t>
        </is>
      </c>
      <c r="B18" s="12" t="inlineStr">
        <is>
          <t>Shareholding</t>
        </is>
      </c>
      <c r="C18" s="12" t="inlineStr">
        <is>
          <t>What percentage of ONGC is held by institutions?</t>
        </is>
      </c>
      <c r="D18" s="12" t="inlineStr">
        <is>
          <t>Source: Financial Graph
Institutions Holding: 22.8%</t>
        </is>
      </c>
      <c r="E18" s="12">
        <f>== ONGC | Company | Oil and Natural Gas Corporation Limited ===
Sector: Energy
Industry: Oil &amp; Gas Integrated
Insiders Holding: 69.2%
Institutions Holding: 22.8%
EBITDA: ₹214.09 Billion (2025-12-31) | ₹217.99 Billion (2025-09-30) | ₹206.50 Billion (2025-06-30) | ₹201.87 Billion (2025-03-31) | ₹191.61 Billion (2024-12-31) | ₹193.97 Billion (2025-12-31) | ₹206.95 Billion (2025-09-30) | ₹188.50 Billion (2025-06-30) | ₹138.12 Billion (2025-03-31) | ₹172.30 Billion (2024-12-31)
Gross Profit: ₹541.26...</f>
        <v/>
      </c>
      <c r="F18" s="18" t="n">
        <v>4</v>
      </c>
      <c r="G18" s="17" t="n">
        <v>3</v>
      </c>
      <c r="H18" s="16" t="n">
        <v>2</v>
      </c>
      <c r="I18" s="17" t="n">
        <v>3</v>
      </c>
      <c r="J18" s="12" t="inlineStr">
        <is>
          <t>Yes</t>
        </is>
      </c>
      <c r="K18" s="12" t="inlineStr">
        <is>
          <t>No</t>
        </is>
      </c>
      <c r="L18" s="12" t="inlineStr">
        <is>
          <t>N/A</t>
        </is>
      </c>
      <c r="M18" s="12" t="n">
        <v>5.878</v>
      </c>
      <c r="N18" s="12" t="inlineStr"/>
      <c r="O18" s="14" t="inlineStr">
        <is>
          <t>Answer is based on data from Financial Graph</t>
        </is>
      </c>
    </row>
    <row r="19">
      <c r="A19" s="13" t="inlineStr">
        <is>
          <t>SH02</t>
        </is>
      </c>
      <c r="B19" s="13" t="inlineStr">
        <is>
          <t>Shareholding</t>
        </is>
      </c>
      <c r="C19" s="13" t="inlineStr">
        <is>
          <t>What is the insider holding percentage for Sun Pharmaceutical?</t>
        </is>
      </c>
      <c r="D19" s="13" t="inlineStr">
        <is>
          <t>The insider holding percentage for Sun Pharmaceutical Industries Limited is 55.6%.</t>
        </is>
      </c>
      <c r="E19" s="13">
        <f>== SUNPHARMA | Company | Sun Pharmaceutical Industries Limited ===
Sector: Healthcare
Industry: Drug Manufacturers - Specialty &amp; Generic
Insiders Holding: 55.6%
Institutions Holding: 28.6%
EBITDA: ₹55.27 Billion (2025-12-31) | ₹47.66 Billion (2025-06-30) | ₹38.18 Billion (2025-03-31) | ₹44.75 Billion (2024-12-31) | ₹42.93 Billion (2024-09-30) | ₹50.38 Billion (2025-12-31) | ₹39.48 Billion (2025-06-30) | ₹39.67 Billion (2025-03-31) | ₹41.58 Billion (2024-12-31) | ₹42.93 Billion (2024-09-30)
Gros...</f>
        <v/>
      </c>
      <c r="F19" s="18" t="n">
        <v>4</v>
      </c>
      <c r="G19" s="18" t="n">
        <v>5</v>
      </c>
      <c r="H19" s="17" t="n">
        <v>3</v>
      </c>
      <c r="I19" s="18" t="n">
        <v>4</v>
      </c>
      <c r="J19" s="13" t="inlineStr">
        <is>
          <t>Yes</t>
        </is>
      </c>
      <c r="K19" s="13" t="inlineStr">
        <is>
          <t>No</t>
        </is>
      </c>
      <c r="L19" s="13" t="inlineStr">
        <is>
          <t>N/A</t>
        </is>
      </c>
      <c r="M19" s="13" t="n">
        <v>5.734</v>
      </c>
      <c r="N19" s="13" t="inlineStr"/>
      <c r="O19" s="15" t="inlineStr">
        <is>
          <t>Answer is based on publicly available data</t>
        </is>
      </c>
    </row>
    <row r="20">
      <c r="A20" s="12" t="inlineStr">
        <is>
          <t>R01</t>
        </is>
      </c>
      <c r="B20" s="12" t="inlineStr">
        <is>
          <t>Robustness</t>
        </is>
      </c>
      <c r="C20" s="12" t="inlineStr">
        <is>
          <t>What is the current gold price?</t>
        </is>
      </c>
      <c r="D20" s="12" t="inlineStr">
        <is>
          <t>I do not have that data in my records.</t>
        </is>
      </c>
      <c r="E20" s="12" t="inlineStr">
        <is>
          <t>stock exchanges with a market value of ₹2.16 lakh crore (equivalent to ₹4.8 trillion or US$51 billion in 2023). CIL was included in the 30-member BSE SENSEX on 8 August 2011.
---
In 2016, Titan acquired a 62% stake in CaratLane for ₹357 crore (US$53.13 million). In 2023, Titan acquired another 27.18% stake in CaratLane from its founder and his family for ₹4,621 crore (US$559.45 million) in cash, following which its stake in the company increased to 98.28%. In 2024, Titan acquired the remaining s...</t>
        </is>
      </c>
      <c r="F20" s="16" t="n">
        <v>2</v>
      </c>
      <c r="G20" s="17" t="n">
        <v>3</v>
      </c>
      <c r="H20" s="18" t="n">
        <v>4</v>
      </c>
      <c r="I20" s="17" t="n">
        <v>3</v>
      </c>
      <c r="J20" s="12" t="inlineStr">
        <is>
          <t>N/A</t>
        </is>
      </c>
      <c r="K20" s="12" t="inlineStr">
        <is>
          <t>N/A</t>
        </is>
      </c>
      <c r="L20" s="12" t="inlineStr">
        <is>
          <t>N/A</t>
        </is>
      </c>
      <c r="M20" s="12" t="n">
        <v>4.433</v>
      </c>
      <c r="N20" s="12" t="inlineStr"/>
      <c r="O20" s="14" t="inlineStr">
        <is>
          <t>Does not have data in records</t>
        </is>
      </c>
    </row>
    <row r="21">
      <c r="A21" s="13" t="inlineStr">
        <is>
          <t>R02</t>
        </is>
      </c>
      <c r="B21" s="13" t="inlineStr">
        <is>
          <t>Robustness</t>
        </is>
      </c>
      <c r="C21" s="13" t="inlineStr">
        <is>
          <t>Summarise the last 5 years of NIFTY performance.</t>
        </is>
      </c>
      <c r="D21" s="13" t="inlineStr">
        <is>
          <t>Source: Financial Graph
NIFTY 50 Index Performance (2022-2026):
*   **2022**: The index started with a value of ₹17,111.15 and ended at ₹59,796.65, recording a gain of ₹42,685.5 or 251.3% over the year.
*   **2023**: NIFTY 50 began at ₹59,796.65 and closed at ₹11,419.35, resulting in a loss of ₹48,377.3 or -80.9%.
*   **2024**: The index started at ₹11,419.35 and ended at ₹17,111.15, recording a gain of ₹5,691.8 or 50% over the year.
*   **2025**: NIFTY 50 began at ₹17,111.15 and closed at ₹20,000.00, resulting in a loss of ₹3,111.15 or -18.0%.
*   **2026 (until May)**: The index started at ₹20,000.00 and ended at ₹22,500.00, recording a gain of ₹2,500.00 or 12.5% over the period.
These values are subject to change based on market fluctuations.</t>
        </is>
      </c>
      <c r="E21" s="13" t="inlineStr">
        <is>
          <t>### 1975–1994
---
### 1995–2004
---
## History
---
Community 5 Summary: Based on the provided community subgraph, here is a concise summary of its key themes, relationships, and significance:
**Key Themes:**
1. **Utilities Sector Dominance**: The community revolves around the Utilities sector, with NTPC and POWERGRID being prominent companies.
2. **Insider and Institutional Holdings**: Both insider and institutional holdings are significant in this community, indicating a high level of interes...</t>
        </is>
      </c>
      <c r="F21" s="18" t="n">
        <v>4</v>
      </c>
      <c r="G21" s="17" t="n">
        <v>3</v>
      </c>
      <c r="H21" s="16" t="n">
        <v>2</v>
      </c>
      <c r="I21" s="17" t="n">
        <v>3</v>
      </c>
      <c r="J21" s="13" t="inlineStr">
        <is>
          <t>N/A</t>
        </is>
      </c>
      <c r="K21" s="13" t="inlineStr">
        <is>
          <t>N/A</t>
        </is>
      </c>
      <c r="L21" s="13" t="inlineStr">
        <is>
          <t>N/A</t>
        </is>
      </c>
      <c r="M21" s="13" t="n">
        <v>12.656</v>
      </c>
      <c r="N21" s="13" t="inlineStr"/>
      <c r="O21" s="15" t="inlineStr">
        <is>
          <t>Provides factual data but lacks specific end date for 2026</t>
        </is>
      </c>
    </row>
    <row r="22">
      <c r="A22" s="12" t="inlineStr">
        <is>
          <t>MT01</t>
        </is>
      </c>
      <c r="B22" s="12" t="inlineStr">
        <is>
          <t>Multi-turn Sim</t>
        </is>
      </c>
      <c r="C22" s="12" t="inlineStr">
        <is>
          <t>Tell me about TCS revenue, then compare it with Infosys revenue.</t>
        </is>
      </c>
      <c r="D22" s="12" t="inlineStr">
        <is>
          <t>**Source: Financial Graph**
Tata Consultancy Services (TCS) Revenue:
- ₹291.11 Billion (2026-03-31)
- ₹272.95 Billion (2025-12-31)
- ₹281.38 Billion (2025-06-30)
- ₹249.69 Billion (2025-03-31)
- ₹244.98 Billion (2024-12-31)
Infosys Limited Revenue:
- ₹1.55 Billion (2026-03-31)
- ₹1.44 Billion (2025-12-31)
- ₹1.56 Billion (2025-09-30)
- ₹1.52 Billion (2025-06-30)
- ₹1.43 Billion (2025-03-31)
**Comparison:**
TCS Revenue is significantly higher than Infosys Limited Revenue, with a difference of around 189 times in the latest available data (2026-03-31). This indicates that TCS has a much larger revenue base compared to Infosys.
However, it's worth noting that both companies have shown growth in their revenues over time. TCS has consistently reported higher revenues than Infosys in recent years, but Infosys has also demonstrated resilience and growth in the face of industry challenges.</t>
        </is>
      </c>
      <c r="E22" s="12">
        <f>== INFY | Company | Infosys Limited ===
Sector: Technology
Industry: Information Technology Services
Insiders Holding: 16.1%
Institutions Holding: 48.7%
EBITDA: ₹1.33 Billion (2026-03-31) | ₹1.15 Billion (2025-12-31) | ₹1.29 Billion (2025-09-30) | ₹1.03 Billion (2025-06-30) | ₹1.28 Billion (2025-03-31) | ₹1.33 Billion (2026-03-31) | ₹1.18 Billion (2025-12-31) | ₹1.31 Billion (2025-09-30) | ₹1.03 Billion (2025-06-30) | ₹1.28 Billion (2025-03-31)
Gross Profit: ₹1.55 Billion (2026-03-31) | ₹1.44 B...</f>
        <v/>
      </c>
      <c r="F22" s="18" t="n">
        <v>4</v>
      </c>
      <c r="G22" s="17" t="n">
        <v>3</v>
      </c>
      <c r="H22" s="16" t="n">
        <v>2</v>
      </c>
      <c r="I22" s="17" t="n">
        <v>3</v>
      </c>
      <c r="J22" s="12" t="inlineStr">
        <is>
          <t>Yes</t>
        </is>
      </c>
      <c r="K22" s="12" t="inlineStr">
        <is>
          <t>Yes</t>
        </is>
      </c>
      <c r="L22" s="12" t="inlineStr">
        <is>
          <t>No</t>
        </is>
      </c>
      <c r="M22" s="12" t="n">
        <v>11.997</v>
      </c>
      <c r="N22" s="12" t="inlineStr"/>
      <c r="O22" s="14" t="inlineStr">
        <is>
          <t>Provides some factual data but lacks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2026-07-12T18:07:13Z</dcterms:created>
  <dcterms:modified xsi:type="dcterms:W3CDTF">2026-07-12T18:07:13Z</dcterms:modified>
</cp:coreProperties>
</file>